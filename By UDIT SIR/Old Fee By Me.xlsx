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<sst xmlns="http://schemas.openxmlformats.org/spreadsheetml/2006/main" uniqueCount="987">
  <si>
    <t>S. No.</t>
  </si>
  <si>
    <t>Enrl No.</t>
  </si>
  <si>
    <t>Name  of Student</t>
  </si>
  <si>
    <t>Gen.</t>
  </si>
  <si>
    <t>New</t>
  </si>
  <si>
    <t>Class</t>
  </si>
  <si>
    <t>Sec.</t>
  </si>
  <si>
    <t>Adm. fee</t>
  </si>
  <si>
    <t>Security fee</t>
  </si>
  <si>
    <t>Almanic fee</t>
  </si>
  <si>
    <t>Robotics fee</t>
  </si>
  <si>
    <t>Tution fee Qtr</t>
  </si>
  <si>
    <t>Full Year Tuition Fees</t>
  </si>
  <si>
    <t>Disc.5%</t>
  </si>
  <si>
    <t>Admission fee paid</t>
  </si>
  <si>
    <t>Security fee paid</t>
  </si>
  <si>
    <t>Total Fee Amount</t>
  </si>
  <si>
    <t>TOTAL PAID</t>
  </si>
  <si>
    <t>Balance</t>
  </si>
  <si>
    <t>PENDING AMOUNT  2025-26</t>
  </si>
  <si>
    <t>ADVANCE AMOUNT  2025-26</t>
  </si>
  <si>
    <t>FINE RECVD</t>
  </si>
  <si>
    <t>AANVI AGARWAL</t>
  </si>
  <si>
    <t>F</t>
  </si>
  <si>
    <t>NEW</t>
  </si>
  <si>
    <t>NUR</t>
  </si>
  <si>
    <t>A</t>
  </si>
  <si>
    <t>AARUSH CHAUHAN</t>
  </si>
  <si>
    <t>M</t>
  </si>
  <si>
    <t>AMITANSH KUMAR</t>
  </si>
  <si>
    <t>ANAGH ABHISHEK RAJPUT</t>
  </si>
  <si>
    <t>ANAM SHAMSI</t>
  </si>
  <si>
    <t>ARYA SISODIA (RTE)</t>
  </si>
  <si>
    <t>ASWAD KHAN</t>
  </si>
  <si>
    <t>AVANTIKA BHAGIRATHI</t>
  </si>
  <si>
    <t>AVIKA JAIN</t>
  </si>
  <si>
    <t>AVNI GAHLOT</t>
  </si>
  <si>
    <t>GRANTH MITTAL</t>
  </si>
  <si>
    <t>HARSHIT RAJPUT (RTE)</t>
  </si>
  <si>
    <t>JAY CHAUHAN</t>
  </si>
  <si>
    <t>LEESHIKA CHAUHAN (RTE)</t>
  </si>
  <si>
    <t>MOHD ARSHAQ</t>
  </si>
  <si>
    <t>MOHI RAJPUT (RTE)</t>
  </si>
  <si>
    <t>MONALISA SINGH</t>
  </si>
  <si>
    <t>NAKSHITH KUMAR SINGH</t>
  </si>
  <si>
    <t>NITYAM SINGH (RTE)</t>
  </si>
  <si>
    <t>PARTHVI CHAUHAN</t>
  </si>
  <si>
    <t>PRAGYAN CHAUHAN</t>
  </si>
  <si>
    <t>PRANAV KANSAL</t>
  </si>
  <si>
    <t>PRANJAL VATS</t>
  </si>
  <si>
    <t>RAM RAJPUT</t>
  </si>
  <si>
    <t>RISHITA CHAUHAN</t>
  </si>
  <si>
    <t>RITHVIK GOYAL</t>
  </si>
  <si>
    <t>SAMRIDDHI RAJPUT</t>
  </si>
  <si>
    <t>SAMYAK RAJPUT</t>
  </si>
  <si>
    <t>SHRUTI POSWAL</t>
  </si>
  <si>
    <t>TANAY PRATAP SINGH</t>
  </si>
  <si>
    <t>TANISHKA SINGH</t>
  </si>
  <si>
    <t>TIYA CHAUHAN</t>
  </si>
  <si>
    <t>VIREN SINGH CHAUDHARY</t>
  </si>
  <si>
    <t>VIVAAN POSWAL</t>
  </si>
  <si>
    <t>ABHYUDYA PRATAP SINGH</t>
  </si>
  <si>
    <t>B</t>
  </si>
  <si>
    <t>AGASTYA AGARWAL</t>
  </si>
  <si>
    <t>AGASTYA PRATAP SINGH</t>
  </si>
  <si>
    <t>BRISHTI SINGH KONDIYAL</t>
  </si>
  <si>
    <t>DAKSH SHARMA</t>
  </si>
  <si>
    <t>DEVANYA GAUTAM</t>
  </si>
  <si>
    <t>DHRUHI RAJPUT</t>
  </si>
  <si>
    <t>EASHAN KASHYAP</t>
  </si>
  <si>
    <t>HARSHITA UJLAN</t>
  </si>
  <si>
    <t>IPSHITA SINGH</t>
  </si>
  <si>
    <t>KARTIKI NANDAN</t>
  </si>
  <si>
    <t>KIAANSH GUPTA</t>
  </si>
  <si>
    <t>KUSHAL RAJPUT</t>
  </si>
  <si>
    <t>KYRA KANSAL</t>
  </si>
  <si>
    <t>MOKSH JAIN</t>
  </si>
  <si>
    <t>NAVYA CHAUDHARY</t>
  </si>
  <si>
    <t>NIVAAN GARG</t>
  </si>
  <si>
    <t>NITYANSH RAJPUT</t>
  </si>
  <si>
    <t>OMISHA AGARWAL</t>
  </si>
  <si>
    <t>PARAS JAIN</t>
  </si>
  <si>
    <t>PARSHVI JAIN</t>
  </si>
  <si>
    <t>PRARABDH ROOKIWAL (PORUS)</t>
  </si>
  <si>
    <t>PRASHISH TYAGI</t>
  </si>
  <si>
    <t>RUDRANSH GUPTA</t>
  </si>
  <si>
    <t>RUTVI GROVER</t>
  </si>
  <si>
    <t>SAAVI AGARWAL</t>
  </si>
  <si>
    <t>SAANVI AGARWAL</t>
  </si>
  <si>
    <t>SAURANSH PRATAP SINGH</t>
  </si>
  <si>
    <t>SHIVIKSHA SAXENA</t>
  </si>
  <si>
    <t>SURYA PRATAP</t>
  </si>
  <si>
    <t>TANISHKA AGARWAL</t>
  </si>
  <si>
    <t>TRAYAKSH SHARAN</t>
  </si>
  <si>
    <t>VANYA CHOUDHARY</t>
  </si>
  <si>
    <t>VEDANSH CHAUHAN</t>
  </si>
  <si>
    <t>VIRAT GUPTA</t>
  </si>
  <si>
    <t>AANYA CHAUHAN (RTE)</t>
  </si>
  <si>
    <t>LKG</t>
  </si>
  <si>
    <t>ABHINAV</t>
  </si>
  <si>
    <t>ABHINAV (RTE)</t>
  </si>
  <si>
    <t>AKSHIT KASANA</t>
  </si>
  <si>
    <t>AKSHIT KUMAR</t>
  </si>
  <si>
    <t>AMAYARA (RTE)</t>
  </si>
  <si>
    <t>ANAYA WALIA</t>
  </si>
  <si>
    <t>ANSHI ASHIYAN (RTE)</t>
  </si>
  <si>
    <t>ANVIK JAIN</t>
  </si>
  <si>
    <t>AVIKA SHARMA (RTE)</t>
  </si>
  <si>
    <t>AVYUKT SHARMA</t>
  </si>
  <si>
    <t>DARSHIKA THAKUR</t>
  </si>
  <si>
    <t>DISHANK CHAUHAN</t>
  </si>
  <si>
    <t>FIONA CHAUHAN</t>
  </si>
  <si>
    <t>GARVIT CHAUHAN</t>
  </si>
  <si>
    <t>HARSHIL PAWAR (RTE)</t>
  </si>
  <si>
    <t>KRISHNA SAINI (RTE)</t>
  </si>
  <si>
    <t>MADHAV AGARWAL</t>
  </si>
  <si>
    <t>MANASVI SINGH</t>
  </si>
  <si>
    <t>MANVI AGARWAL</t>
  </si>
  <si>
    <t>MUHAMMAD HASNAIN (RTE)</t>
  </si>
  <si>
    <t>MOHD. MUSA</t>
  </si>
  <si>
    <t>MOHIKA CHAUHAN</t>
  </si>
  <si>
    <t>MRIDUL CHAUHAN</t>
  </si>
  <si>
    <t>NAOMIKA SINGH</t>
  </si>
  <si>
    <t>NIVANSHEE SAINI (RTE)</t>
  </si>
  <si>
    <t>PARIDHI (RTE)</t>
  </si>
  <si>
    <t>PIYUSH KUMAR (RTE)</t>
  </si>
  <si>
    <t>PRANIT AZAD</t>
  </si>
  <si>
    <t>PRATYANSH CHAINWAL (RTE)</t>
  </si>
  <si>
    <t>RADHYA SINGH</t>
  </si>
  <si>
    <t>RHYTHM SINGH</t>
  </si>
  <si>
    <t>SHATAKSHI YADAV (HALF)</t>
  </si>
  <si>
    <t>SHREEJA RAJPUT</t>
  </si>
  <si>
    <t>THAKUR TANISHQ SINGH (RTE)</t>
  </si>
  <si>
    <t>VANYA VATS</t>
  </si>
  <si>
    <t>VEDAGYA AGARWAL</t>
  </si>
  <si>
    <t>VIRAJ DEV GAUTAM</t>
  </si>
  <si>
    <t>VIVAN RAJPUT</t>
  </si>
  <si>
    <t>AALIYA KHAN</t>
  </si>
  <si>
    <t>AARAV AGARWAL</t>
  </si>
  <si>
    <t>AAROHI SINGH (HALF)</t>
  </si>
  <si>
    <t>ADVIK RAJPUT</t>
  </si>
  <si>
    <t>ANMAY BHARDWAJ</t>
  </si>
  <si>
    <t>ASHUTOSH SHARMA</t>
  </si>
  <si>
    <t>ATHARV SINGH</t>
  </si>
  <si>
    <t xml:space="preserve">DARSHIT SHARMA </t>
  </si>
  <si>
    <t>DHANLAXMI GOUR</t>
  </si>
  <si>
    <t>DHRUVI CHAUHAN (RTE)</t>
  </si>
  <si>
    <t>EKANSH CHAUHAN</t>
  </si>
  <si>
    <t>EKARSH AGARWAL</t>
  </si>
  <si>
    <t>HARSHIT KUMAR (RTE)</t>
  </si>
  <si>
    <t>JAY RUHELA</t>
  </si>
  <si>
    <t>KAVISH RAJPUT</t>
  </si>
  <si>
    <t>KAVYA CHAUHAN (RTE)</t>
  </si>
  <si>
    <t>KETVI SHEKHAR YADAV (RTE)</t>
  </si>
  <si>
    <t>KIYANSHI AGARWAL</t>
  </si>
  <si>
    <t>KRISHA</t>
  </si>
  <si>
    <t>KRISHIV AGARWAL</t>
  </si>
  <si>
    <t>MAZHAR HUSSAIN (RTE)</t>
  </si>
  <si>
    <t>MOHAMMAD</t>
  </si>
  <si>
    <t>MUHAMMAD ZAKWAN NOSHAD (RTE)</t>
  </si>
  <si>
    <t>PRAGYAN PATRA (HALF)</t>
  </si>
  <si>
    <t>PRANAV RAJ</t>
  </si>
  <si>
    <t>PRASHVI</t>
  </si>
  <si>
    <t>PRASOON TYAGI</t>
  </si>
  <si>
    <t>RAVIJA CHAURASIYA</t>
  </si>
  <si>
    <t>SATVIK PRATAP SINGH (RTE)</t>
  </si>
  <si>
    <t>SOURISH PRATAP SINGH</t>
  </si>
  <si>
    <t>TANISHA RANA</t>
  </si>
  <si>
    <t>TANUSH RANA</t>
  </si>
  <si>
    <t>TUSHANT RAJPUT</t>
  </si>
  <si>
    <t>UDDISH RAJPUT</t>
  </si>
  <si>
    <t>UMM AYMAN</t>
  </si>
  <si>
    <t>UTKARSH CHAUHAN (RTE)</t>
  </si>
  <si>
    <t>VANSHRAJ</t>
  </si>
  <si>
    <t>YATHARTH CHAUHAN</t>
  </si>
  <si>
    <t>YUKTI RASTOGI</t>
  </si>
  <si>
    <t>AENI SHARMA</t>
  </si>
  <si>
    <t>UKG</t>
  </si>
  <si>
    <t>ARNAV SINGH</t>
  </si>
  <si>
    <t>ASHVI JAIN</t>
  </si>
  <si>
    <t>AVYUKT BANSAL</t>
  </si>
  <si>
    <t>BHAVYA CHAUHAN (RTE)</t>
  </si>
  <si>
    <t>BHAVYANSH CHAUHAN (RTE)</t>
  </si>
  <si>
    <t>BHAVY CHAUHAN</t>
  </si>
  <si>
    <t>BHUVIK CHAUHAN</t>
  </si>
  <si>
    <t>DHAIRYA CHAUHAN</t>
  </si>
  <si>
    <t>DIVYA</t>
  </si>
  <si>
    <t>EVYAVAN</t>
  </si>
  <si>
    <t>HAMDAN AHMAD</t>
  </si>
  <si>
    <t>IDIKA RASTOGI</t>
  </si>
  <si>
    <t>ISHANYA GAUTAM</t>
  </si>
  <si>
    <t>IVAAN RASTOGI</t>
  </si>
  <si>
    <t>LAKSHYA VASHISHTHA (RTE)</t>
  </si>
  <si>
    <t>KARTIK CHAUHAN</t>
  </si>
  <si>
    <t>KUNJ SIROHI</t>
  </si>
  <si>
    <t>MANASVI PRATAP</t>
  </si>
  <si>
    <t>MANPREET CHAUHAN</t>
  </si>
  <si>
    <t>MOHD. HADI</t>
  </si>
  <si>
    <t>MOLI KASHYAP</t>
  </si>
  <si>
    <t>MRITYUNJAYA PRATAP VATSAL</t>
  </si>
  <si>
    <t>MOHAMMAD SAAD</t>
  </si>
  <si>
    <t>MOHD AZHAAN</t>
  </si>
  <si>
    <t>NIRVAN CHAUDHARY</t>
  </si>
  <si>
    <t>PRATUL RAJPUT</t>
  </si>
  <si>
    <t>PRIYANSHI MISHRA (HALF)</t>
  </si>
  <si>
    <t>PURVIK RAJPUT</t>
  </si>
  <si>
    <t>RITWIK KATARIYA</t>
  </si>
  <si>
    <t>RIYANSH SAGAR</t>
  </si>
  <si>
    <t>RIYANSHI VATS</t>
  </si>
  <si>
    <t>SHANVI GOYAL</t>
  </si>
  <si>
    <t>SIDDHI RAJPUT</t>
  </si>
  <si>
    <t>YASHIKA RAJPUT</t>
  </si>
  <si>
    <t>YUG RAJPUT</t>
  </si>
  <si>
    <t>ARNAV BHARANA</t>
  </si>
  <si>
    <t>ARUSHI TYAGI</t>
  </si>
  <si>
    <t>ATHARV CHAUHAN</t>
  </si>
  <si>
    <t>BHOOVIK CHAUHAN</t>
  </si>
  <si>
    <t>CHITRANSH SAINI (RTE)</t>
  </si>
  <si>
    <t>DAKSH PRATAP SINGH</t>
  </si>
  <si>
    <t>DARSHINI JAIN</t>
  </si>
  <si>
    <t>DISHANI RAGHUWANSHI</t>
  </si>
  <si>
    <t>EKANSH GUPTA</t>
  </si>
  <si>
    <t>GANISHKA GUPTA</t>
  </si>
  <si>
    <t>GIRIK AGARWAL</t>
  </si>
  <si>
    <t>HAZEL FAEEM</t>
  </si>
  <si>
    <t>HETANSH SISODIA</t>
  </si>
  <si>
    <t>HIFZA FAHEEM</t>
  </si>
  <si>
    <t>ENAYA AHMAD (HALF)</t>
  </si>
  <si>
    <t>KIARA CHAUDHARY</t>
  </si>
  <si>
    <t>KUHU GOTAM</t>
  </si>
  <si>
    <t>MADHAV VERMA</t>
  </si>
  <si>
    <t>MANVIK RANA</t>
  </si>
  <si>
    <t>MOHAMMAD TABISH</t>
  </si>
  <si>
    <t>PARTH SINGH RAJPUT</t>
  </si>
  <si>
    <t>PARTHAV RAJPUT</t>
  </si>
  <si>
    <t>PRATHVISH CHAUHAN</t>
  </si>
  <si>
    <t>PRATYAKSH GUPTA</t>
  </si>
  <si>
    <t>RADHIKA GUPTA</t>
  </si>
  <si>
    <t>SHASHANK KUMAR RANA</t>
  </si>
  <si>
    <t>SHIVIN CHAUDHARY</t>
  </si>
  <si>
    <t>TANU SISODIA</t>
  </si>
  <si>
    <t>VANISHTA SINGH</t>
  </si>
  <si>
    <t>VIHAN RAJPUT</t>
  </si>
  <si>
    <t>VIVAN SHARMA</t>
  </si>
  <si>
    <t>VRISHTI SISODIYA</t>
  </si>
  <si>
    <t>YAAMRATA SISODIYA (RTE)</t>
  </si>
  <si>
    <t>YUVRAJ KUMAR (HALF)</t>
  </si>
  <si>
    <t>AABHAS KUMAR HALDIYA</t>
  </si>
  <si>
    <t>I</t>
  </si>
  <si>
    <t>ADVIKA AGARWAL</t>
  </si>
  <si>
    <t>ANAY SINGH RATHORE</t>
  </si>
  <si>
    <t>ATHARVA CHAUHAN (HALF)</t>
  </si>
  <si>
    <t>BHAVYA PRATAP SINGH</t>
  </si>
  <si>
    <t>DANIYAL</t>
  </si>
  <si>
    <t>DHRUVI TRIPATHI</t>
  </si>
  <si>
    <t>DITYA RAJPUT</t>
  </si>
  <si>
    <t>GARIMA SINGH</t>
  </si>
  <si>
    <t>GARVIT GUPTA</t>
  </si>
  <si>
    <t>GRITIK GUPTA</t>
  </si>
  <si>
    <t>HIRDIYANSHI RAJPUT</t>
  </si>
  <si>
    <t>KAIRAV CHAUHAN</t>
  </si>
  <si>
    <t>KAVYANSH SISODIA</t>
  </si>
  <si>
    <t>KRIYANSH SISODIA</t>
  </si>
  <si>
    <t>MISHKA RASTOGI</t>
  </si>
  <si>
    <t>MISHIKA SINGH (RTE)</t>
  </si>
  <si>
    <t>MOHAMMAD HASSAN (RTE)</t>
  </si>
  <si>
    <t>MUHAMMAD BIN SHARIQ</t>
  </si>
  <si>
    <t>NARAYANI GUPTA</t>
  </si>
  <si>
    <t>NIRMIT</t>
  </si>
  <si>
    <t>NIVANSHI SINGH</t>
  </si>
  <si>
    <t>PRAGYANK RATHOR</t>
  </si>
  <si>
    <t>PRANAVI GUPTA</t>
  </si>
  <si>
    <t>PURVI GAHLOT (RTE)</t>
  </si>
  <si>
    <t>RUDRA CHAUHAN</t>
  </si>
  <si>
    <t>RUDRA RAJVANSHI (RTE)</t>
  </si>
  <si>
    <t>SAMRIDDHI SINGH</t>
  </si>
  <si>
    <t>SHIVANSHI WRESHWAL</t>
  </si>
  <si>
    <t>SURYANSH PRAJAPATI (RTE)</t>
  </si>
  <si>
    <t>SUVEER CHATURVEDI</t>
  </si>
  <si>
    <t>TANAYA JAIN</t>
  </si>
  <si>
    <t>VISHVHETU CHAUHAN</t>
  </si>
  <si>
    <t>VIRAT POSWAL</t>
  </si>
  <si>
    <t>YUVAAN DAYAL</t>
  </si>
  <si>
    <t>ZAINISH ALMAS</t>
  </si>
  <si>
    <t>ZARMEEN ALMAS</t>
  </si>
  <si>
    <t>AARVI SINGH</t>
  </si>
  <si>
    <t>ADHRIT SINGH CHAUHAN</t>
  </si>
  <si>
    <t>AIKANSH KUMAR RAJPUT (RTE)</t>
  </si>
  <si>
    <t>AKSHARA SINGH</t>
  </si>
  <si>
    <t>ARUSH KHEPPAR</t>
  </si>
  <si>
    <t>ATHARVA MAAN SISODIA</t>
  </si>
  <si>
    <t>DEVANSH TOMAR</t>
  </si>
  <si>
    <t>DRASHYA RAJPUT</t>
  </si>
  <si>
    <t>GARGI TYAGI</t>
  </si>
  <si>
    <t>GARV SISODIYA</t>
  </si>
  <si>
    <t>JAZA KHAN</t>
  </si>
  <si>
    <t>JEEVANSH SISODIA</t>
  </si>
  <si>
    <t>KARTIKEY SISODIYA</t>
  </si>
  <si>
    <t>KIRAT SINGH</t>
  </si>
  <si>
    <t>MANAVI RAJPUT</t>
  </si>
  <si>
    <t>MEDHANSH CHAINWAL (RTE)</t>
  </si>
  <si>
    <t>MEHAAN PAWAR (RTE)</t>
  </si>
  <si>
    <t>MINSA NAAZ</t>
  </si>
  <si>
    <t>MISHTY GUPTA</t>
  </si>
  <si>
    <t>MOHAMMAD UZAIR (RTE)</t>
  </si>
  <si>
    <t>NAKSH SISODIA</t>
  </si>
  <si>
    <t>NITYA VISHNOI</t>
  </si>
  <si>
    <t>PARISHA JAIN</t>
  </si>
  <si>
    <t>PARISHRUT PRATAP SINGH</t>
  </si>
  <si>
    <t>PURVI KASHYAP</t>
  </si>
  <si>
    <t>RADHIKA AGARWAL</t>
  </si>
  <si>
    <t>RIYANK CHAUDHARY</t>
  </si>
  <si>
    <t>RIZA</t>
  </si>
  <si>
    <t>SAANVI VATS</t>
  </si>
  <si>
    <t>SHARVIL SHARMA</t>
  </si>
  <si>
    <t>SIDDHARTH RAJPUT</t>
  </si>
  <si>
    <t>SURYANSH PRATAP SINGH</t>
  </si>
  <si>
    <t>TARUSH SINGH</t>
  </si>
  <si>
    <t>VEDIC ARYA</t>
  </si>
  <si>
    <t>VIVEK SINGH</t>
  </si>
  <si>
    <t>YUVRAJ SINGH</t>
  </si>
  <si>
    <t>AADI SHREE RUHELA</t>
  </si>
  <si>
    <t>II</t>
  </si>
  <si>
    <t>ADVIK CHAUHAN</t>
  </si>
  <si>
    <t>AGAM PREET SINGH (RTE)</t>
  </si>
  <si>
    <t>AKARSH AGARWAL</t>
  </si>
  <si>
    <t>AYZAL</t>
  </si>
  <si>
    <t>ADITYA SHARMA (RTE)</t>
  </si>
  <si>
    <t>AMOL TYAGI</t>
  </si>
  <si>
    <t>ANAYA SINGH RATHORE</t>
  </si>
  <si>
    <t>ATHARV CHOUDHARY</t>
  </si>
  <si>
    <t>AVNI SHARMA</t>
  </si>
  <si>
    <t>DHAIRYA CHAUHAN (HALF)</t>
  </si>
  <si>
    <t>DRASHYA THAKUR (RTE)</t>
  </si>
  <si>
    <t>GARGEE</t>
  </si>
  <si>
    <t>GARV BIST</t>
  </si>
  <si>
    <t>KUNJ CHAUHAN</t>
  </si>
  <si>
    <t>MANIK AGARWAL</t>
  </si>
  <si>
    <t>MISTHI SISODIA</t>
  </si>
  <si>
    <t>MITANSH CHAUHAN</t>
  </si>
  <si>
    <t>NAVYA CHAUHAN</t>
  </si>
  <si>
    <t>RAYYAN KHAN</t>
  </si>
  <si>
    <t>REYANSH AGARWAL</t>
  </si>
  <si>
    <t>RIDHAN AGARWAL</t>
  </si>
  <si>
    <t>RIDDHI AGARWAL</t>
  </si>
  <si>
    <t>RITVIK BHARDWAJ</t>
  </si>
  <si>
    <t>RIYANSH SAINI</t>
  </si>
  <si>
    <t>RUDRAKSHI BANSAL</t>
  </si>
  <si>
    <t>SAMARTH AGARWAL</t>
  </si>
  <si>
    <t>SANSKAR BANSAL</t>
  </si>
  <si>
    <t>SANSKRITI BANSAL</t>
  </si>
  <si>
    <t>SHARDUL YADAV</t>
  </si>
  <si>
    <t>SUHANI</t>
  </si>
  <si>
    <t>TANUSH AGARWAL (HALF)</t>
  </si>
  <si>
    <t>VARUN SISODIA</t>
  </si>
  <si>
    <t>VIHAAN BHARDWAJ</t>
  </si>
  <si>
    <t>AADI SISODIA</t>
  </si>
  <si>
    <t>AAHANA MAHESHWARI</t>
  </si>
  <si>
    <t>AAGYA AGARWAL</t>
  </si>
  <si>
    <t>AARADHYA VASHISTHA</t>
  </si>
  <si>
    <t>AARNA JAIN</t>
  </si>
  <si>
    <t>ADVAY PRADHAN</t>
  </si>
  <si>
    <t>ATHARV GAHLOT</t>
  </si>
  <si>
    <t>AVIKA MAHESHWARI</t>
  </si>
  <si>
    <t>DEVANSH RAGHUVANSHI</t>
  </si>
  <si>
    <t>FALAK RAJPUT</t>
  </si>
  <si>
    <t xml:space="preserve">HARSHIKA </t>
  </si>
  <si>
    <t>HIFZAN CHAUDHARY (RTE)</t>
  </si>
  <si>
    <t>JHANVIKA BHAGIRATHI</t>
  </si>
  <si>
    <t>JINISHA SISODIYA</t>
  </si>
  <si>
    <t>LAKSHIT PRATAP SINGH</t>
  </si>
  <si>
    <t>MADHAV DHANSHINA</t>
  </si>
  <si>
    <t>MANYA YADAV</t>
  </si>
  <si>
    <t>MOHAMMAD MUSA</t>
  </si>
  <si>
    <t>MOHD FARHAN SHARIF</t>
  </si>
  <si>
    <t>MRIDIKA DIXIT</t>
  </si>
  <si>
    <t>NISHTHA CHAUHAN</t>
  </si>
  <si>
    <t>PARTH MALHOTRA</t>
  </si>
  <si>
    <t>PIHU MISHRA</t>
  </si>
  <si>
    <t>RAJ VARDHAN</t>
  </si>
  <si>
    <t>RUDRAKSH (HALF)</t>
  </si>
  <si>
    <t>SARTHAK SINGH</t>
  </si>
  <si>
    <t>SARVAM CHAUHAN (HALF)</t>
  </si>
  <si>
    <t>SAUMYA BHARDWAJ</t>
  </si>
  <si>
    <t>SERVAGYA TRIPATHI</t>
  </si>
  <si>
    <t>SHIVANSH PAL</t>
  </si>
  <si>
    <t>SHUBHRANSH PAL</t>
  </si>
  <si>
    <t>VAARUSH PRATAP SINGH</t>
  </si>
  <si>
    <t>VAIDIK</t>
  </si>
  <si>
    <t>YUVRAJ PRATAP SINGH</t>
  </si>
  <si>
    <t>ANANT JAIN</t>
  </si>
  <si>
    <t>III</t>
  </si>
  <si>
    <t>AAYANSH TYAGI</t>
  </si>
  <si>
    <t>ANURAJ KUMAR MEHRA</t>
  </si>
  <si>
    <t>ANUSHKA MEHRA</t>
  </si>
  <si>
    <t>ANUSHREE SINGH</t>
  </si>
  <si>
    <t>ARNAV GUPTA</t>
  </si>
  <si>
    <t>AROOSI (RTE)</t>
  </si>
  <si>
    <t>AYAANSH AGARWAL</t>
  </si>
  <si>
    <t>BHAVIK RAJPUT</t>
  </si>
  <si>
    <t>BHAVYA RAJPUT</t>
  </si>
  <si>
    <t>DEVANSHI YADAV</t>
  </si>
  <si>
    <t>DIYA MITTAL</t>
  </si>
  <si>
    <t>DRISHYA VASHISHT (RTE)</t>
  </si>
  <si>
    <t>HANSHIKA CHAUHAN (RTE)</t>
  </si>
  <si>
    <t>HEMANK RAJPUT</t>
  </si>
  <si>
    <t>JAYANT SISODIYA</t>
  </si>
  <si>
    <t>JEEVARTH CHAUDHARY</t>
  </si>
  <si>
    <t>KRISHLA YADAV</t>
  </si>
  <si>
    <t>KRITAGYA SINGH CHAUHAN</t>
  </si>
  <si>
    <t>LAKSHITA KASHYAP</t>
  </si>
  <si>
    <t>NAITIK VASHISHTHA</t>
  </si>
  <si>
    <t>NAKSH GOYAL</t>
  </si>
  <si>
    <t>NITYA GANDHI (RTE)</t>
  </si>
  <si>
    <t>NITYA SHREE RAJPUT</t>
  </si>
  <si>
    <t>OJASAV (HALF)</t>
  </si>
  <si>
    <t>PRAGUN SHARMA</t>
  </si>
  <si>
    <t>RAYANSH JAIN</t>
  </si>
  <si>
    <t>RUDRAKSH AGARWAL</t>
  </si>
  <si>
    <t>SAYED AMMAR ALI</t>
  </si>
  <si>
    <t>SHRADHA AGARWAL</t>
  </si>
  <si>
    <t>SHORYA (RTE)</t>
  </si>
  <si>
    <t>SHUBH VERMA (RTE)</t>
  </si>
  <si>
    <t>SUNITI ROOKIWAL</t>
  </si>
  <si>
    <t>SWARIT SRIVASTAVA</t>
  </si>
  <si>
    <t>TANASHI SINGH</t>
  </si>
  <si>
    <t>YANA RAJPUT</t>
  </si>
  <si>
    <t>YEEDHURAJ SINGH</t>
  </si>
  <si>
    <t>ZYNAH WARSI</t>
  </si>
  <si>
    <t>AARYA PRIYADARSHNI</t>
  </si>
  <si>
    <t>ABDUL HADI AHMAD (FREE EDU.)</t>
  </si>
  <si>
    <t>ABDUL KABIR</t>
  </si>
  <si>
    <t>ABEER RASTOGI</t>
  </si>
  <si>
    <t>ANAYA VERMA</t>
  </si>
  <si>
    <t>ARADHYA RAJAWAT (RTE)</t>
  </si>
  <si>
    <t>ARHAM HAKIM</t>
  </si>
  <si>
    <t>BASHAR ABDULLAH</t>
  </si>
  <si>
    <t>BHAVYANSH RAJPUT</t>
  </si>
  <si>
    <t>DEVANSH SIDDHU</t>
  </si>
  <si>
    <t>FAYZA NOOR (RTE)</t>
  </si>
  <si>
    <t>HAIDER ALI</t>
  </si>
  <si>
    <t>HARSHITA (RTE)</t>
  </si>
  <si>
    <t>JATIN KUMAR (RTE)</t>
  </si>
  <si>
    <t>JAYDEEP SISODIA</t>
  </si>
  <si>
    <t>JEVIN SALUJA</t>
  </si>
  <si>
    <t>KASHVI RAJPUT</t>
  </si>
  <si>
    <t>KAVYANSH ARYA (RTE)</t>
  </si>
  <si>
    <t>KUNJ GUPTA</t>
  </si>
  <si>
    <t>LAKSHIKA BISHNOI</t>
  </si>
  <si>
    <t>MAHIRA NAAZ</t>
  </si>
  <si>
    <t>MOHD. AFHAM (RTE)</t>
  </si>
  <si>
    <t>MOHAMMAD SAMAR BILAL</t>
  </si>
  <si>
    <t>NABEEYA PARVEEN (RTE)</t>
  </si>
  <si>
    <t>PRANITI AZAD</t>
  </si>
  <si>
    <t>PRISHA CHAUHAN</t>
  </si>
  <si>
    <t>RAJAN CHAUHAN</t>
  </si>
  <si>
    <t>SHAGUN SHARMA (RTE)</t>
  </si>
  <si>
    <t>SHAURAVI VERMA</t>
  </si>
  <si>
    <t>SHIVANSHI SINGH (RTE)</t>
  </si>
  <si>
    <t>SHREYANSH JUNEJA</t>
  </si>
  <si>
    <t>TANISHKA CHAUHAN</t>
  </si>
  <si>
    <t>TEJAS CHAUHAN</t>
  </si>
  <si>
    <t>VAISHNAVI RAJPUT (RTE)</t>
  </si>
  <si>
    <t>VIVAAN CHAUHAN</t>
  </si>
  <si>
    <t>YUG SISODIYA</t>
  </si>
  <si>
    <t>AAFIYA PARVEEN</t>
  </si>
  <si>
    <t>IV</t>
  </si>
  <si>
    <t>AAKRITI RUHELA</t>
  </si>
  <si>
    <t>AARADHYA SINGH</t>
  </si>
  <si>
    <t>ADHYANSH</t>
  </si>
  <si>
    <t>AIRIN HARSHYANA</t>
  </si>
  <si>
    <t>ANABIYA</t>
  </si>
  <si>
    <t>ANANT PRATAP SINGH (HALF)</t>
  </si>
  <si>
    <t>ANIKA SINGH</t>
  </si>
  <si>
    <t>ANIKA TYAGI</t>
  </si>
  <si>
    <t>ANIKET KUMAR</t>
  </si>
  <si>
    <t>BHAVISHYA CHAUHAN</t>
  </si>
  <si>
    <t>BHOOVIK SISODIA</t>
  </si>
  <si>
    <t>CHAUDHARY AHAN ALAM (RTE)</t>
  </si>
  <si>
    <t>DEVANSHI CHAUDHARY</t>
  </si>
  <si>
    <t>HAIDER YAZDAN</t>
  </si>
  <si>
    <t>HAMZA FAHEEM</t>
  </si>
  <si>
    <t>JAUHAR IQBAL</t>
  </si>
  <si>
    <t>KAVYANSH PRATAP SISODIYA</t>
  </si>
  <si>
    <t>KU.VANDNA</t>
  </si>
  <si>
    <t>MAHAM KHAN</t>
  </si>
  <si>
    <t>MAYANK SAGAR</t>
  </si>
  <si>
    <t>MOHAMMAD ASHHAD</t>
  </si>
  <si>
    <t>MOHAMMAD FAZIL</t>
  </si>
  <si>
    <t>MOHD HASSAN</t>
  </si>
  <si>
    <t>MOHD. TAHA (RTE)</t>
  </si>
  <si>
    <t>MOHD.ZARYAB</t>
  </si>
  <si>
    <t>NAVYA CHOPRA</t>
  </si>
  <si>
    <t>PARTH KAUSHIK</t>
  </si>
  <si>
    <t>RUDRANSH SISODIA</t>
  </si>
  <si>
    <t>SHIVANSH JAIN</t>
  </si>
  <si>
    <t>SHREEJA PRADHAN</t>
  </si>
  <si>
    <t>VIHAAN SINGH</t>
  </si>
  <si>
    <t>AADYA RASTOGI</t>
  </si>
  <si>
    <t>AAHANA AGARWAL</t>
  </si>
  <si>
    <t>AANYA SINGH</t>
  </si>
  <si>
    <t>AADVIK</t>
  </si>
  <si>
    <t>AKSHANSH RAI (HALF)</t>
  </si>
  <si>
    <t>ANUSHRI DAGAR</t>
  </si>
  <si>
    <t>AVIRAL</t>
  </si>
  <si>
    <t>DAKSH GAUTAM</t>
  </si>
  <si>
    <t>EKAAKSH MITTAL</t>
  </si>
  <si>
    <t>GAURAANG MITTAL</t>
  </si>
  <si>
    <t>HARSH KUMAR SINGH</t>
  </si>
  <si>
    <t>KSHITIJ KUMAR</t>
  </si>
  <si>
    <t>LAVANYA RASTOGI</t>
  </si>
  <si>
    <t>MADHUR CHAUHAN (HALF)</t>
  </si>
  <si>
    <t>MAITHILI CHAUHAN</t>
  </si>
  <si>
    <t>MANYA SINGH</t>
  </si>
  <si>
    <t>MEHNUMA ZAIBI</t>
  </si>
  <si>
    <t>MEHUL TYAGI (HALF)</t>
  </si>
  <si>
    <t>MISHTI CHAUHAN</t>
  </si>
  <si>
    <t>MOHD. MAAZ</t>
  </si>
  <si>
    <t>MOHD MUSTAFA HUSSAIN</t>
  </si>
  <si>
    <t>NAVYA VATS</t>
  </si>
  <si>
    <t>OJAS SISODIA</t>
  </si>
  <si>
    <t>PAKSHALIKA TYAGI</t>
  </si>
  <si>
    <t>PARTH RAJPUT</t>
  </si>
  <si>
    <t>RUDRA PRATAP YADAV</t>
  </si>
  <si>
    <t>RUDRAKSHI AGARWAL</t>
  </si>
  <si>
    <t>SARANSH AGARWAL</t>
  </si>
  <si>
    <t>SUZAIN</t>
  </si>
  <si>
    <t>TAKSH PRATAP SINGH</t>
  </si>
  <si>
    <t>VAGMI GUPTA</t>
  </si>
  <si>
    <t>VEDANSH RAJPUT</t>
  </si>
  <si>
    <t>VIHAAN GUPTA</t>
  </si>
  <si>
    <t>YUGANSH BANSAL</t>
  </si>
  <si>
    <t>AARAV SINGH</t>
  </si>
  <si>
    <t>V</t>
  </si>
  <si>
    <t>AAYANSH GUPTA</t>
  </si>
  <si>
    <t>ABDULLAH</t>
  </si>
  <si>
    <t>ANAVAY CHAUHAN</t>
  </si>
  <si>
    <t>ANEEKA SINGH</t>
  </si>
  <si>
    <t>ANIKET PRATAP SINGH</t>
  </si>
  <si>
    <t>ANMOL CHAUDHARY</t>
  </si>
  <si>
    <t>ARADHYA RAI</t>
  </si>
  <si>
    <t>ARNAV AGARWAL</t>
  </si>
  <si>
    <t>ATHARV VISHNOI</t>
  </si>
  <si>
    <t>AYUSH MAAN MISHRA</t>
  </si>
  <si>
    <t>ESHAL</t>
  </si>
  <si>
    <t>GITALI RAJPUT</t>
  </si>
  <si>
    <t>HETANSH JAIN</t>
  </si>
  <si>
    <t>LAKSHYA GUPTA</t>
  </si>
  <si>
    <t>MANN RAJVANSHI (RTE)</t>
  </si>
  <si>
    <t>MAANYA AGARWAL</t>
  </si>
  <si>
    <t>MADHAVA RAJ SINGH</t>
  </si>
  <si>
    <t>MOHAMMED IBRAHIM HASAN</t>
  </si>
  <si>
    <t>MUSA AHMAD CHAUDHARY</t>
  </si>
  <si>
    <t>ARSHDEEP SINGH</t>
  </si>
  <si>
    <t>PANKHURI TYAGI</t>
  </si>
  <si>
    <t>PARTH CHAUHAN</t>
  </si>
  <si>
    <t>RASHI SINGH</t>
  </si>
  <si>
    <t>RUHAN AHMAD ALVI</t>
  </si>
  <si>
    <t>SAMRIDHI VATSAL</t>
  </si>
  <si>
    <t>SHIVANSH RAGHUVANSHI (RTE)</t>
  </si>
  <si>
    <t>SIMRAH NAUMAN</t>
  </si>
  <si>
    <t>THAKUR RUDRANSH SINGH</t>
  </si>
  <si>
    <t>UTKARSH GUPTA</t>
  </si>
  <si>
    <t>VAIDIK VASHISHTHA</t>
  </si>
  <si>
    <t>VIHAN CHAUHAN</t>
  </si>
  <si>
    <t>YAMEE  CHAUHAN</t>
  </si>
  <si>
    <t>AAVYA TYAGI</t>
  </si>
  <si>
    <t>AAVYAN AGARWAL</t>
  </si>
  <si>
    <t>ABDUL HANNAN KHAN</t>
  </si>
  <si>
    <t>ABUBAKAR RASHEED IDRISI</t>
  </si>
  <si>
    <t>ANIK SISODIA</t>
  </si>
  <si>
    <t>ARNAV CHAUHAN</t>
  </si>
  <si>
    <t xml:space="preserve">ATHARV SINGHAL </t>
  </si>
  <si>
    <t>AVANYA GUPTA</t>
  </si>
  <si>
    <t>BASHAR SHAFIQ AHMAD</t>
  </si>
  <si>
    <t>CHARU SINGH</t>
  </si>
  <si>
    <t>HAMZA AMIR</t>
  </si>
  <si>
    <t>HARMAN CHHABRA</t>
  </si>
  <si>
    <t>HARSHIL BHARDWAJ</t>
  </si>
  <si>
    <t>HIMAKSH WRESHWAL</t>
  </si>
  <si>
    <t>ISHIKA CHAUDHARY</t>
  </si>
  <si>
    <t>KHUSHHALI CHAUHAN</t>
  </si>
  <si>
    <t>KUNJ JAIN</t>
  </si>
  <si>
    <t>MANASHV CHAUHAN</t>
  </si>
  <si>
    <t>MOHAMMAD AUNSAR JAMAL</t>
  </si>
  <si>
    <t>MOHD.AJWAD</t>
  </si>
  <si>
    <t>MOHD.TAIB</t>
  </si>
  <si>
    <t>PANKHURI AGARWAL</t>
  </si>
  <si>
    <t>PARAS CHAUHAN</t>
  </si>
  <si>
    <t>PAARTH CHAUHAN</t>
  </si>
  <si>
    <t>PARTH GUPTA</t>
  </si>
  <si>
    <t>PRIYANSHU KUMAR</t>
  </si>
  <si>
    <t>RABHYA GROVER</t>
  </si>
  <si>
    <t>RIDDHI MALHOTRA</t>
  </si>
  <si>
    <t>RIDDHI YADAV</t>
  </si>
  <si>
    <t>RUDRA PRATAP SINGH</t>
  </si>
  <si>
    <t>SAKSHAM VERMA</t>
  </si>
  <si>
    <t>VAISHNAVI SINGH</t>
  </si>
  <si>
    <t>AADI JAIN</t>
  </si>
  <si>
    <t>VI</t>
  </si>
  <si>
    <t>AARAV RAJPUT (HALF)</t>
  </si>
  <si>
    <t>AAROHI (DHEERAJ)</t>
  </si>
  <si>
    <t>AAROHI (JINENDRA)</t>
  </si>
  <si>
    <t>ABHI KUMAR SINGH</t>
  </si>
  <si>
    <t>ABHIJITA RAWAT</t>
  </si>
  <si>
    <t>AL RAMAAN</t>
  </si>
  <si>
    <t>ALI ANSARI</t>
  </si>
  <si>
    <t>ANANT DEV GAUTAM</t>
  </si>
  <si>
    <t>ANAYA THAKUR</t>
  </si>
  <si>
    <t>ANIRUDDH PRATAP SINGH (HALF)</t>
  </si>
  <si>
    <t>ANMOL VISHNOI</t>
  </si>
  <si>
    <t>ANVEE SINGH</t>
  </si>
  <si>
    <t>ARNIMA SHARMA</t>
  </si>
  <si>
    <t>DEVANSH GAUR</t>
  </si>
  <si>
    <t>GAURANSH KUMAR SINGH</t>
  </si>
  <si>
    <t>HANSHIKA RAJPUT</t>
  </si>
  <si>
    <t>HARDIK CHAUHAN (HALF)</t>
  </si>
  <si>
    <t>HARSHIT BHARDWAJ</t>
  </si>
  <si>
    <t>LAKSHITA CHAUHAN (HALF)</t>
  </si>
  <si>
    <t>MADIHA PARVEEN</t>
  </si>
  <si>
    <t>MARYAM ATA</t>
  </si>
  <si>
    <t>MAYUR KUMAR</t>
  </si>
  <si>
    <t>MUKAND CHAUDHARY</t>
  </si>
  <si>
    <t>NITYA PRATAP SINGH (FREE EDU. 2025-26)</t>
  </si>
  <si>
    <t>NITYANSHI WRESHWAL</t>
  </si>
  <si>
    <t>PRATISHTHA PATRA (HALF)</t>
  </si>
  <si>
    <t>RONAK PAWAR</t>
  </si>
  <si>
    <t>SAMRAT CHAUHAN (HALF)</t>
  </si>
  <si>
    <t>TEJASVA KUMAR RAJPUT</t>
  </si>
  <si>
    <t>VAISHANT RAJPUT</t>
  </si>
  <si>
    <t>VANYA GUPTA</t>
  </si>
  <si>
    <t>AAGAM JAIN</t>
  </si>
  <si>
    <t>AAROHI VERMA</t>
  </si>
  <si>
    <t>ABDUL YAHIYA</t>
  </si>
  <si>
    <t>ANANYA SINGH</t>
  </si>
  <si>
    <t>ANGEL AGARWAL</t>
  </si>
  <si>
    <t>ANISH MUDGAL</t>
  </si>
  <si>
    <t>ARUSH SINGH</t>
  </si>
  <si>
    <t>AVIRA SINGH CHAUHAN</t>
  </si>
  <si>
    <t>AVNI KASHYAP</t>
  </si>
  <si>
    <t>BHARGAV RAJPUT</t>
  </si>
  <si>
    <t>DHRUV KUMAR</t>
  </si>
  <si>
    <t>GAURANG AGARWAL</t>
  </si>
  <si>
    <t>GRANTH TYAGI</t>
  </si>
  <si>
    <t>HANIA FATIMA KHAN</t>
  </si>
  <si>
    <t>JIGYANSH RAJPUT</t>
  </si>
  <si>
    <t>MANBHIYA GAHLOT</t>
  </si>
  <si>
    <t>MANVI SAINI</t>
  </si>
  <si>
    <t>MISHIKA RASTOGI</t>
  </si>
  <si>
    <t>MOHD. ABDULLA</t>
  </si>
  <si>
    <t>MUDIT RAJ SINGH</t>
  </si>
  <si>
    <t>NIDHI</t>
  </si>
  <si>
    <t>PREET SINGH</t>
  </si>
  <si>
    <t>RAGHAV JAIN</t>
  </si>
  <si>
    <t>RIDDHI VERMA (HALF)</t>
  </si>
  <si>
    <t>RIDHIMA MAHESHWARI</t>
  </si>
  <si>
    <t>SHARDHA SHREE</t>
  </si>
  <si>
    <t>SHIV NARAYAN</t>
  </si>
  <si>
    <t>SIDDHI VERMA</t>
  </si>
  <si>
    <t>SYED KHIZAR AHMAD</t>
  </si>
  <si>
    <t>VAIDIK CHAUHAN</t>
  </si>
  <si>
    <t>VIHAAN CHAUHAN</t>
  </si>
  <si>
    <t>AFEEFA KHAN</t>
  </si>
  <si>
    <t>VII</t>
  </si>
  <si>
    <t>ANSH KUMAR (FREE EDU.)</t>
  </si>
  <si>
    <t>AREEBA QAMAR</t>
  </si>
  <si>
    <t>AVNI CHAUHAN</t>
  </si>
  <si>
    <t>DAKSH CHOUDHARY</t>
  </si>
  <si>
    <t>DHRUVIKA SINGH</t>
  </si>
  <si>
    <t>FAZAL SHARIF</t>
  </si>
  <si>
    <t>HARSHIKA GUPTA</t>
  </si>
  <si>
    <t>KUNDAN SINGH</t>
  </si>
  <si>
    <t>LAKSHYA CHAUDHARY</t>
  </si>
  <si>
    <t>MANYA JAIN</t>
  </si>
  <si>
    <t>MANSI</t>
  </si>
  <si>
    <t>MOHAMMAD HAMZA ARHAAN</t>
  </si>
  <si>
    <t>MO.HARIS ALI</t>
  </si>
  <si>
    <t>NIDHIR GAHLOT</t>
  </si>
  <si>
    <t>PARISHI AGARWAL</t>
  </si>
  <si>
    <t>PRIYANSH VASHISTH</t>
  </si>
  <si>
    <t>PRIYATI KHARI</t>
  </si>
  <si>
    <t>ROHAN SAINI (HALF)</t>
  </si>
  <si>
    <t>SAHAS RANA</t>
  </si>
  <si>
    <t>SHAURYA CHAUHAN</t>
  </si>
  <si>
    <t>TANISH CHAUHAN</t>
  </si>
  <si>
    <t>TANISHQ VERMA</t>
  </si>
  <si>
    <t>UMAMAH HAREEM</t>
  </si>
  <si>
    <t>YASH PRATAP SINGH</t>
  </si>
  <si>
    <t>YASHIKA KHURANA</t>
  </si>
  <si>
    <t>ZAHARA UR REHMAN</t>
  </si>
  <si>
    <t>AASHI KUSHWAHA</t>
  </si>
  <si>
    <t>ADITYA ARYA</t>
  </si>
  <si>
    <t>ANANYA VISHWAKARMA</t>
  </si>
  <si>
    <t>ANSHI AGARWAL</t>
  </si>
  <si>
    <t>DAKSH SISODIA</t>
  </si>
  <si>
    <t>HUMAIRA KHAN</t>
  </si>
  <si>
    <t>KESHAV KUMAR SHARMA (HALF)</t>
  </si>
  <si>
    <t>MANIK MEHRA</t>
  </si>
  <si>
    <t>NAITIK CHAUHAN</t>
  </si>
  <si>
    <t>NEELANSH CHAUHAN (HALF)</t>
  </si>
  <si>
    <t>NEEL MANUJ</t>
  </si>
  <si>
    <t>NISHIKA RAJPUT</t>
  </si>
  <si>
    <t>PARIDHI CHAUHAN</t>
  </si>
  <si>
    <t>PARIDHI RAJPUT(HALF)</t>
  </si>
  <si>
    <t>PRAKHAR RUHELA</t>
  </si>
  <si>
    <t xml:space="preserve">PRATIGYA </t>
  </si>
  <si>
    <t>RUDRA PRATAP SINGH CHAUHAN</t>
  </si>
  <si>
    <t>SAANVI TYAGI (HALF)</t>
  </si>
  <si>
    <t>SAAVYA CHATURVEDI</t>
  </si>
  <si>
    <t>SARAS RUHELA</t>
  </si>
  <si>
    <t>SAMRAT BHATI</t>
  </si>
  <si>
    <t>SHORYA BHARDWAJ</t>
  </si>
  <si>
    <t>TUBA</t>
  </si>
  <si>
    <t>VANI GUPTA</t>
  </si>
  <si>
    <t>VANIYA GUPTA</t>
  </si>
  <si>
    <t>VARNIKA CHAUHAN</t>
  </si>
  <si>
    <t>ZAINA RAZI</t>
  </si>
  <si>
    <t>AABAN MALIK</t>
  </si>
  <si>
    <t>VIII</t>
  </si>
  <si>
    <t>AAROHI SINGH</t>
  </si>
  <si>
    <t>AABRU MARYAM</t>
  </si>
  <si>
    <t>AAYUSHMAN SHARMA</t>
  </si>
  <si>
    <t>ANSH DEV</t>
  </si>
  <si>
    <t>ARHAN RAZA</t>
  </si>
  <si>
    <t>AROHI AGARWAL</t>
  </si>
  <si>
    <t>AZLAN WARSI</t>
  </si>
  <si>
    <t>IBA SHAMSI</t>
  </si>
  <si>
    <t>INAAYA NAAZ</t>
  </si>
  <si>
    <t>KRIYANSH MAHESHWARI</t>
  </si>
  <si>
    <t>MOHD.AZAM</t>
  </si>
  <si>
    <t>NAKSH TYAGI</t>
  </si>
  <si>
    <t>NAMAN KASHYAP</t>
  </si>
  <si>
    <t>NAMRA FARHAN</t>
  </si>
  <si>
    <t>NEHAL RASTOGI</t>
  </si>
  <si>
    <t>NIHIT SINGH</t>
  </si>
  <si>
    <t>PRABHAV SINGH RANA</t>
  </si>
  <si>
    <t>PRITHA PRIYADARSHANI</t>
  </si>
  <si>
    <t>RIDDHI</t>
  </si>
  <si>
    <t>RUDRANSH SHARAN DEV</t>
  </si>
  <si>
    <t>SHREY GOYAL</t>
  </si>
  <si>
    <t>SHAURYA SINGH</t>
  </si>
  <si>
    <t xml:space="preserve">TANVI SHREE </t>
  </si>
  <si>
    <t>TUSHAGRA TYAGI (HALF)</t>
  </si>
  <si>
    <t>VANI JAIN</t>
  </si>
  <si>
    <t>VARDHAN GUPTA</t>
  </si>
  <si>
    <t>VEDANT GUPTA</t>
  </si>
  <si>
    <t>VEER PRATAP</t>
  </si>
  <si>
    <t>VIBHOR SINGH</t>
  </si>
  <si>
    <t>AAYRA FATMA</t>
  </si>
  <si>
    <t>ABDUL SAMAD</t>
  </si>
  <si>
    <t>ABHYUDAY SINGH</t>
  </si>
  <si>
    <t>AKHAND RAI (HALF)</t>
  </si>
  <si>
    <t>ARADHYA SHARMA</t>
  </si>
  <si>
    <t>ARYAN RASTOGI</t>
  </si>
  <si>
    <t>ARYMA RASTOGI</t>
  </si>
  <si>
    <t>ATHARV BAHL (HALF)</t>
  </si>
  <si>
    <t>AVYANSH SINGH</t>
  </si>
  <si>
    <t>DEV VERMA</t>
  </si>
  <si>
    <t>INAYA NOOR</t>
  </si>
  <si>
    <t>JAHNVI SAINI (HALF)</t>
  </si>
  <si>
    <t>JEEVIKA RAJPUT</t>
  </si>
  <si>
    <t>JIGYASA RAJPOOT</t>
  </si>
  <si>
    <t>KANHA RASTOGI</t>
  </si>
  <si>
    <t>KUSH BHARDWAJ</t>
  </si>
  <si>
    <t>LAVANYA SINGH</t>
  </si>
  <si>
    <t>MAHIMA</t>
  </si>
  <si>
    <t>MAANVI SINGH (HALF)</t>
  </si>
  <si>
    <t>MOHD. IBRAHEEM</t>
  </si>
  <si>
    <t>RACHITA</t>
  </si>
  <si>
    <t>RIYANSH RAJ</t>
  </si>
  <si>
    <t xml:space="preserve">SAANVI THAKUR </t>
  </si>
  <si>
    <t>SEHRISH</t>
  </si>
  <si>
    <t>SHAURYA SHARMA</t>
  </si>
  <si>
    <t>SURYANSH SISODIA</t>
  </si>
  <si>
    <t>VANIYA ANZAR</t>
  </si>
  <si>
    <t>IX</t>
  </si>
  <si>
    <t>AARAV PRATAP SINGH</t>
  </si>
  <si>
    <t>AAIZA AMIR</t>
  </si>
  <si>
    <t>ABDUL HADI (HALF)</t>
  </si>
  <si>
    <t>AISHVI RASTOGI</t>
  </si>
  <si>
    <t>ARADHY RASTOGI</t>
  </si>
  <si>
    <t>CHIRAG KHURANA</t>
  </si>
  <si>
    <t>DHAIRYA VASHISTHA</t>
  </si>
  <si>
    <t>HURAIN SABA</t>
  </si>
  <si>
    <t>JIVITESH CHAUHAN</t>
  </si>
  <si>
    <t>KAVYA CHAUHAN</t>
  </si>
  <si>
    <t>MADHAV PRATAP RANA</t>
  </si>
  <si>
    <t>MANAS VANSHLAJ</t>
  </si>
  <si>
    <t>PARASHAKTIMAN KATARIYA</t>
  </si>
  <si>
    <t>PRIYANSHI RUHELA</t>
  </si>
  <si>
    <t>RAGHAV GOYAL</t>
  </si>
  <si>
    <t>SHAGUN CHAUHAN</t>
  </si>
  <si>
    <t>SHOBHIT KUMAR</t>
  </si>
  <si>
    <t>UDAY KANSAL</t>
  </si>
  <si>
    <t>UTKARSH CHAUHAN</t>
  </si>
  <si>
    <t>VARTIKA SINGH</t>
  </si>
  <si>
    <t>VEDANT SINGH DHANKER</t>
  </si>
  <si>
    <t>AARADHAYA SHARMA (HALF)</t>
  </si>
  <si>
    <t>AARAV KANSAL</t>
  </si>
  <si>
    <t>ADAMYA SINGH</t>
  </si>
  <si>
    <t>ALISHBA FATIMA</t>
  </si>
  <si>
    <t>ANUDAY RASTOGI</t>
  </si>
  <si>
    <t>ASHWIN CHAUHAN</t>
  </si>
  <si>
    <t>BHAVYA BHARDWAJ</t>
  </si>
  <si>
    <t>JAHNAVI RASTOGI</t>
  </si>
  <si>
    <t>MANAN AGARWAL</t>
  </si>
  <si>
    <t>MANYA RUHELA</t>
  </si>
  <si>
    <t>MOHD.TAHA</t>
  </si>
  <si>
    <t>MUSA KHAN</t>
  </si>
  <si>
    <t xml:space="preserve">OM NARAYAN </t>
  </si>
  <si>
    <t>PAKHI MAHESHWARI</t>
  </si>
  <si>
    <t>PRABHASH KUMAR HALDIYA</t>
  </si>
  <si>
    <t>PRAKHAR GAUR</t>
  </si>
  <si>
    <t>PRAVER AGARWAL</t>
  </si>
  <si>
    <t>RAM AGARWAL</t>
  </si>
  <si>
    <t>SHEEZEN ZUBAIR</t>
  </si>
  <si>
    <t>SHONA MIGLANI</t>
  </si>
  <si>
    <t>SHREY DESHWAL</t>
  </si>
  <si>
    <t>SURBHI BANSAL</t>
  </si>
  <si>
    <t>TANMAY CHAUHAN</t>
  </si>
  <si>
    <t>TARANG AGARWAL</t>
  </si>
  <si>
    <t>VIKHYAT SHRIDHAR RAJPUT</t>
  </si>
  <si>
    <t>YASHIKA RANI</t>
  </si>
  <si>
    <t>ANJALI RASTOGI</t>
  </si>
  <si>
    <t>X</t>
  </si>
  <si>
    <t>ANSHI ARYA</t>
  </si>
  <si>
    <t>AREEN ASIF</t>
  </si>
  <si>
    <t>ARUSHI AGARWAL</t>
  </si>
  <si>
    <t>BHAVYA RASTOGI</t>
  </si>
  <si>
    <t>CHAHAK SHARMA</t>
  </si>
  <si>
    <t>DEVANSH AGARWAL</t>
  </si>
  <si>
    <t>DHANAKSHI SINGH</t>
  </si>
  <si>
    <t>DRISHTI SHARMA</t>
  </si>
  <si>
    <t>HANSHIKA CHAUHAN</t>
  </si>
  <si>
    <t>HARSHIT KUMAR</t>
  </si>
  <si>
    <t>HUDA AHMAD (FREE EDU.)</t>
  </si>
  <si>
    <t>KSHITIJ PRATAP SINGH</t>
  </si>
  <si>
    <t>KUSH SHARMA</t>
  </si>
  <si>
    <t>MAHI GOYAL</t>
  </si>
  <si>
    <t>NAISHA JAIN</t>
  </si>
  <si>
    <t>NIPUN PURUSHARATHI</t>
  </si>
  <si>
    <t>PAARTH ELEVEN SHAURYA</t>
  </si>
  <si>
    <t>PRANSHU RASTOGI</t>
  </si>
  <si>
    <t>PRATEEK SHARMA</t>
  </si>
  <si>
    <t>RIYAN ASIF</t>
  </si>
  <si>
    <t>SAAD ALI</t>
  </si>
  <si>
    <t>SADIYA ALI</t>
  </si>
  <si>
    <t>SAIEB TAHAMI</t>
  </si>
  <si>
    <t>SAKSHAM SHARMA</t>
  </si>
  <si>
    <t>SAMREEN</t>
  </si>
  <si>
    <t>SHIVANSHI PRADEEP</t>
  </si>
  <si>
    <t>TANEESHA SINGH</t>
  </si>
  <si>
    <t>VIPIN KUMAR</t>
  </si>
  <si>
    <t xml:space="preserve">YASH SINGH DHAKOLIYA </t>
  </si>
  <si>
    <t>ZUBIYA</t>
  </si>
  <si>
    <t>AKSHIT BHARDWAJ</t>
  </si>
  <si>
    <t>ANAMIKA SAINI (HALF)</t>
  </si>
  <si>
    <t>ARJUN SHARMA</t>
  </si>
  <si>
    <t>ARNAV GARG</t>
  </si>
  <si>
    <t>ATHARV SRIVASTAVA</t>
  </si>
  <si>
    <t>AVIRAL AGARWAL</t>
  </si>
  <si>
    <t>DEV KUMAR SINGH</t>
  </si>
  <si>
    <t>DIVYANSHI CHAUHAN</t>
  </si>
  <si>
    <t>ISHIKA RAJPUT (HALF)</t>
  </si>
  <si>
    <t>JAISMINE TEJYAN</t>
  </si>
  <si>
    <t>KARTIK BANSAL</t>
  </si>
  <si>
    <t>KHANAM</t>
  </si>
  <si>
    <t>MAHIMA CHAUHAN</t>
  </si>
  <si>
    <t>MANIKA GAHLOT</t>
  </si>
  <si>
    <t>MOHAMMAD AFZAL SARFARAZ</t>
  </si>
  <si>
    <t xml:space="preserve">MOHD REHAN </t>
  </si>
  <si>
    <t>NIHARIKA CHAUDHARY</t>
  </si>
  <si>
    <t>PRANJEL VERMA</t>
  </si>
  <si>
    <t>SAMRIDDHI GUPTA</t>
  </si>
  <si>
    <t>SHAARVI RASTOGI</t>
  </si>
  <si>
    <t>SHREYA DIXIT</t>
  </si>
  <si>
    <t>SHIKHAR PRATAP RANA</t>
  </si>
  <si>
    <t>SHIV CHAUDHARY</t>
  </si>
  <si>
    <t>SHORYA PRATAP SINGH</t>
  </si>
  <si>
    <t>SIDRA RASHID</t>
  </si>
  <si>
    <t>SURYANSH RAJPUT</t>
  </si>
  <si>
    <t>TANVI SINGH</t>
  </si>
  <si>
    <t>TRIYAMBIKA MEHROTRA</t>
  </si>
  <si>
    <t>UDBHAV SINGH RAJPUT (HALF)</t>
  </si>
  <si>
    <t>VANI RASTOGI</t>
  </si>
  <si>
    <t>VANSH DEV</t>
  </si>
  <si>
    <t>VISHVJEET SINGH CHAUHAN</t>
  </si>
  <si>
    <t>YATI AGARWAL</t>
  </si>
  <si>
    <t>AARAV GARG</t>
  </si>
  <si>
    <t>XI</t>
  </si>
  <si>
    <t>AARIYA MISHRA</t>
  </si>
  <si>
    <t>AAROHI KATARIYA</t>
  </si>
  <si>
    <t>ABDUL FAIEZ</t>
  </si>
  <si>
    <t>ABUZAR KHAN</t>
  </si>
  <si>
    <t>AISHVARY CHAUDHARY</t>
  </si>
  <si>
    <t>AMOGH SHARMA</t>
  </si>
  <si>
    <t>ANIKA JAIN</t>
  </si>
  <si>
    <t>AREEB UR REHMAN</t>
  </si>
  <si>
    <t>DAIWIK</t>
  </si>
  <si>
    <t>DEVANSH VATSAL</t>
  </si>
  <si>
    <t>EKANSH GOYAL</t>
  </si>
  <si>
    <t>FATIMA KHAN</t>
  </si>
  <si>
    <t>PCM</t>
  </si>
  <si>
    <t>GAURI MEHROTRA</t>
  </si>
  <si>
    <t>ISHIKA AGARWAL</t>
  </si>
  <si>
    <t>KETAK PRATAP</t>
  </si>
  <si>
    <t xml:space="preserve">MANAV </t>
  </si>
  <si>
    <t>MANN CHAUHAN</t>
  </si>
  <si>
    <t>NIRBHAY THAKUR</t>
  </si>
  <si>
    <t>PRIYANSHI RAJPUT</t>
  </si>
  <si>
    <t>RITVIK KUMAR</t>
  </si>
  <si>
    <t>RUDRA NARAYAN RAI</t>
  </si>
  <si>
    <t>SAKSHAM GAHLOT</t>
  </si>
  <si>
    <t>SHREYA CHAUHAN</t>
  </si>
  <si>
    <t>TANISHKA GUPTA</t>
  </si>
  <si>
    <t>TIKSHA BAHL (HALF)</t>
  </si>
  <si>
    <t>VAIBHAV SINGH WRESHWAL</t>
  </si>
  <si>
    <t>VRINDA DESHWAL</t>
  </si>
  <si>
    <t>YASH KAUSHIK</t>
  </si>
  <si>
    <t>ZAREEN FATMA (HALF)</t>
  </si>
  <si>
    <t>AGRIM VERMA</t>
  </si>
  <si>
    <t>AKANKSHA (HALF)</t>
  </si>
  <si>
    <t>AKSHAJ BHARDWAJ</t>
  </si>
  <si>
    <t>AKSHITA AGARWAL</t>
  </si>
  <si>
    <t>ANSHUL KATARIYA</t>
  </si>
  <si>
    <t>AYUSH WARDHAN SINGH</t>
  </si>
  <si>
    <t>AYUSHMAN BHARDWAJ</t>
  </si>
  <si>
    <t>BHAWNA BIST</t>
  </si>
  <si>
    <t>BHUVI MAHESHWARI</t>
  </si>
  <si>
    <t>DEV RANA</t>
  </si>
  <si>
    <t>DEVANSH RUHELA</t>
  </si>
  <si>
    <t>DHAIRYA VANSHLAJ</t>
  </si>
  <si>
    <t>DIVYANSHI PRAKASH</t>
  </si>
  <si>
    <t>HARSH GOYAL</t>
  </si>
  <si>
    <t>KANAV RUHELA</t>
  </si>
  <si>
    <t>KANIKA SHARMA</t>
  </si>
  <si>
    <t>KANISHKA</t>
  </si>
  <si>
    <t>LAKSHIKA RAJPUT</t>
  </si>
  <si>
    <t>MOHD. ARISH</t>
  </si>
  <si>
    <t>MOHD. HAMZA</t>
  </si>
  <si>
    <t>NAMSIT GANDHARVA</t>
  </si>
  <si>
    <t>NAVYA AGARWAL</t>
  </si>
  <si>
    <t>PALAK SINHA</t>
  </si>
  <si>
    <t>COM.</t>
  </si>
  <si>
    <t>PIYUSH KUMAR</t>
  </si>
  <si>
    <t>RICHA RAJPUT</t>
  </si>
  <si>
    <t>RITUL SISODIA</t>
  </si>
  <si>
    <t>SARTHAK CHAUHAN</t>
  </si>
  <si>
    <t>TANISH PRATAP SINGH</t>
  </si>
  <si>
    <t>VAARTA SINGH</t>
  </si>
  <si>
    <t>VAIBHAV GUPTA</t>
  </si>
  <si>
    <t>VANSH PRATAP SINGH</t>
  </si>
  <si>
    <t>VRADHI GUPTA</t>
  </si>
  <si>
    <t>YUGAL CHAUHAN</t>
  </si>
  <si>
    <t>AHAM YADAV</t>
  </si>
  <si>
    <t>XII</t>
  </si>
  <si>
    <t>PCB</t>
  </si>
  <si>
    <t>AL YUSRA  KHAN</t>
  </si>
  <si>
    <t>BHUMIKA SINGH</t>
  </si>
  <si>
    <t>INSHA RAHMANI</t>
  </si>
  <si>
    <t>ISHITA AGARWAL</t>
  </si>
  <si>
    <t>MAHI SINGH</t>
  </si>
  <si>
    <t>NAMRA RASHID</t>
  </si>
  <si>
    <t>RIDDHI KUSHWAHA</t>
  </si>
  <si>
    <t>RONIT CHAUHAN</t>
  </si>
  <si>
    <t>SAMARTH CHAUHAN (HALF)</t>
  </si>
  <si>
    <t>SHIREEN FATIMA</t>
  </si>
  <si>
    <t>SHREYA RAJPUT</t>
  </si>
  <si>
    <t>SHRUTI  RAJPUT</t>
  </si>
  <si>
    <t>SHOURYA PRATAP</t>
  </si>
  <si>
    <t>SHUBH KATARIYA</t>
  </si>
  <si>
    <t>VANSHIKA</t>
  </si>
  <si>
    <t>CHARU VASHIST</t>
  </si>
  <si>
    <t>DARSHITA BORA</t>
  </si>
  <si>
    <t>DEV</t>
  </si>
  <si>
    <t>HITESH RASTOGI</t>
  </si>
  <si>
    <t>KRISHNA GANDHI</t>
  </si>
  <si>
    <t>MANRAJ SINGH</t>
  </si>
  <si>
    <t>SAKSHAM SINGH</t>
  </si>
  <si>
    <t>SAMRIDDHI PANDEY (HALF)</t>
  </si>
  <si>
    <t>UMRA SUALEH</t>
  </si>
  <si>
    <t>VARNIKA AERON</t>
  </si>
  <si>
    <t>AIMAN RASHEED</t>
  </si>
  <si>
    <t>HUM.</t>
  </si>
  <si>
    <t>MANDEEP SINGH KAMBOJ</t>
  </si>
  <si>
    <t>NISHTHA KUMARI</t>
  </si>
  <si>
    <t>VAISHNAVI RASTOGI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</si>
</sst>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Calibri"/>
      <scheme val="minor"/>
    </font>
    <font>
      <b val="1"/>
      <i val="0"/>
      <strike val="0"/>
      <u val="none"/>
      <sz val="10"/>
      <color rgb="FFFFFFFF"/>
      <name val="Calibri"/>
      <scheme val="minor"/>
    </font>
    <font>
      <b val="0"/>
      <i val="0"/>
      <strike val="0"/>
      <u val="none"/>
      <sz val="10"/>
      <color rgb="FF000000"/>
      <name val="Calibri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8CBAD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FFFFFF"/>
      </patternFill>
    </fill>
    <fill>
      <patternFill patternType="solid">
        <fgColor rgb="FFFFE699"/>
        <bgColor rgb="FFFFFFFF"/>
      </patternFill>
    </fill>
    <fill>
      <patternFill patternType="solid">
        <fgColor rgb="FF00B050"/>
        <bgColor rgb="FFFFFFFF"/>
      </patternFill>
    </fill>
    <fill>
      <patternFill patternType="solid">
        <fgColor rgb="FF00B0F0"/>
        <bgColor rgb="FFFFFFFF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45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2" borderId="1" applyFont="1" applyNumberFormat="0" applyFill="1" applyBorder="1" applyAlignment="1" applyProtection="true">
      <alignment horizontal="center" vertical="center" textRotation="0" wrapText="true" shrinkToFit="false"/>
      <protection locked="false"/>
    </xf>
    <xf xfId="0" fontId="1" numFmtId="0" fillId="2" borderId="1" applyFont="1" applyNumberFormat="0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2" borderId="1" applyFont="1" applyNumberFormat="0" applyFill="1" applyBorder="1" applyAlignment="1" applyProtection="true">
      <alignment vertical="center" textRotation="0" wrapText="false" shrinkToFit="false"/>
      <protection locked="false"/>
    </xf>
    <xf xfId="0" fontId="1" numFmtId="17" fillId="2" borderId="1" applyFont="1" applyNumberFormat="1" applyFill="1" applyBorder="1" applyAlignment="1" applyProtection="true">
      <alignment horizontal="center" vertical="center" textRotation="0" wrapText="true" shrinkToFit="false"/>
      <protection locked="false"/>
    </xf>
    <xf xfId="0" fontId="1" numFmtId="17" fillId="2" borderId="1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2" numFmtId="17" fillId="2" borderId="1" applyFont="1" applyNumberFormat="1" applyFill="1" applyBorder="1" applyAlignment="1" applyProtection="true">
      <alignment horizontal="center" vertical="center" textRotation="0" wrapText="false" shrinkToFit="false"/>
      <protection locked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1" fillId="3" borderId="1" applyFont="1" applyNumberFormat="1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true" shrinkToFit="false"/>
    </xf>
    <xf xfId="0" fontId="3" numFmtId="0" fillId="4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5" borderId="1" applyFont="1" applyNumberFormat="0" applyFill="1" applyBorder="1" applyAlignment="1">
      <alignment horizontal="center" vertical="center" textRotation="0" wrapText="true" shrinkToFit="false"/>
    </xf>
    <xf xfId="0" fontId="3" numFmtId="0" fillId="5" borderId="1" applyFont="1" applyNumberFormat="0" applyFill="1" applyBorder="1" applyAlignment="1">
      <alignment horizontal="center" vertical="center" textRotation="0" wrapText="false" shrinkToFit="false"/>
    </xf>
    <xf xfId="0" fontId="3" numFmtId="0" fillId="6" borderId="1" applyFont="1" applyNumberFormat="0" applyFill="1" applyBorder="1" applyAlignment="1">
      <alignment horizontal="center" vertical="center" textRotation="0" wrapText="true" shrinkToFit="false"/>
    </xf>
    <xf xfId="0" fontId="3" numFmtId="0" fillId="6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2" applyFont="1" applyNumberFormat="0" applyFill="1" applyBorder="1" applyAlignment="1">
      <alignment horizontal="center" vertical="center" textRotation="0" wrapText="true" shrinkToFit="false"/>
    </xf>
    <xf xfId="0" fontId="3" numFmtId="0" fillId="6" borderId="1" applyFont="1" applyNumberFormat="0" applyFill="1" applyBorder="1" applyAlignment="1">
      <alignment horizontal="center" vertical="center" textRotation="0" wrapText="true" shrinkToFit="false"/>
    </xf>
    <xf xfId="0" fontId="3" numFmtId="0" fillId="6" borderId="1" applyFont="1" applyNumberFormat="0" applyFill="1" applyBorder="1" applyAlignment="1">
      <alignment horizontal="center" vertical="center" textRotation="0" wrapText="false" shrinkToFit="false"/>
    </xf>
    <xf xfId="0" fontId="3" numFmtId="0" fillId="4" borderId="1" applyFont="1" applyNumberFormat="0" applyFill="1" applyBorder="1" applyAlignment="1">
      <alignment horizontal="left" vertical="center" textRotation="0" wrapText="true" shrinkToFit="false"/>
    </xf>
    <xf xfId="0" fontId="3" numFmtId="0" fillId="3" borderId="1" applyFont="1" applyNumberFormat="0" applyFill="1" applyBorder="1" applyAlignment="1">
      <alignment horizontal="center" vertical="bottom" textRotation="0" wrapText="false" shrinkToFit="false"/>
    </xf>
    <xf xfId="0" fontId="3" numFmtId="0" fillId="7" borderId="1" applyFont="1" applyNumberFormat="0" applyFill="1" applyBorder="1" applyAlignment="1">
      <alignment horizontal="center" vertical="center" textRotation="0" wrapText="false" shrinkToFit="false"/>
    </xf>
    <xf xfId="0" fontId="3" numFmtId="0" fillId="7" borderId="1" applyFont="1" applyNumberFormat="0" applyFill="1" applyBorder="1" applyAlignment="1">
      <alignment horizontal="center" vertical="center" textRotation="0" wrapText="true" shrinkToFit="false"/>
    </xf>
    <xf xfId="0" fontId="3" numFmtId="0" fillId="7" borderId="1" applyFont="1" applyNumberFormat="0" applyFill="1" applyBorder="1" applyAlignment="1">
      <alignment horizontal="center" vertical="center" textRotation="0" wrapText="true" shrinkToFit="false"/>
    </xf>
    <xf xfId="0" fontId="3" numFmtId="15" fillId="3" borderId="1" applyFont="1" applyNumberFormat="1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3" numFmtId="15" fillId="6" borderId="1" applyFont="1" applyNumberFormat="1" applyFill="1" applyBorder="1" applyAlignment="1">
      <alignment horizontal="center" vertical="center" textRotation="0" wrapText="true" shrinkToFit="false"/>
    </xf>
    <xf xfId="0" fontId="3" numFmtId="15" fillId="3" borderId="1" applyFont="1" applyNumberFormat="1" applyFill="1" applyBorder="1" applyAlignment="1">
      <alignment horizontal="center" vertical="center" textRotation="0" wrapText="false" shrinkToFit="false"/>
    </xf>
    <xf xfId="0" fontId="3" numFmtId="0" fillId="7" borderId="1" applyFont="1" applyNumberFormat="0" applyFill="1" applyBorder="1" applyAlignment="1">
      <alignment horizontal="center" vertical="center" textRotation="0" wrapText="false" shrinkToFit="false"/>
    </xf>
    <xf xfId="0" fontId="3" numFmtId="14" fillId="3" borderId="1" applyFont="1" applyNumberFormat="1" applyFill="1" applyBorder="1" applyAlignment="1">
      <alignment horizontal="center" vertical="center" textRotation="0" wrapText="false" shrinkToFit="false"/>
    </xf>
    <xf xfId="0" fontId="3" numFmtId="14" fillId="6" borderId="1" applyFont="1" applyNumberFormat="1" applyFill="1" applyBorder="1" applyAlignment="1">
      <alignment horizontal="center" vertical="center" textRotation="0" wrapText="false" shrinkToFit="false"/>
    </xf>
    <xf xfId="0" fontId="3" numFmtId="15" fillId="6" borderId="1" applyFont="1" applyNumberFormat="1" applyFill="1" applyBorder="1" applyAlignment="1">
      <alignment horizontal="center" vertical="center" textRotation="0" wrapText="false" shrinkToFit="false"/>
    </xf>
    <xf xfId="0" fontId="3" numFmtId="14" fillId="3" borderId="1" applyFont="1" applyNumberFormat="1" applyFill="1" applyBorder="1" applyAlignment="1">
      <alignment horizontal="center" vertical="center" textRotation="0" wrapText="false" shrinkToFit="false"/>
    </xf>
    <xf xfId="0" fontId="3" numFmtId="0" fillId="3" borderId="1" applyFont="1" applyNumberFormat="0" applyFill="1" applyBorder="1" applyAlignment="1">
      <alignment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K956"/>
  <sheetViews>
    <sheetView tabSelected="1" workbookViewId="0" showGridLines="true" showRowColHeaders="1">
      <pane ySplit="1" topLeftCell="A23" activePane="bottomLeft" state="frozen"/>
      <selection pane="bottomLeft" activeCell="AH956" sqref="AH956"/>
    </sheetView>
  </sheetViews>
  <sheetFormatPr defaultRowHeight="14.4" outlineLevelRow="0" outlineLevelCol="0"/>
  <cols>
    <col min="3" max="3" width="25.7109375" customWidth="true" style="0"/>
  </cols>
  <sheetData>
    <row r="1" spans="1:37" customHeight="1" ht="38.25">
      <c r="A1" s="2" t="s">
        <v>0</v>
      </c>
      <c r="B1" s="2" t="s">
        <v>1</v>
      </c>
      <c r="C1" s="3" t="s">
        <v>2</v>
      </c>
      <c r="D1" s="4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13</v>
      </c>
      <c r="O1" s="2" t="s">
        <v>14</v>
      </c>
      <c r="P1" s="2" t="s">
        <v>15</v>
      </c>
      <c r="Q1" s="5">
        <v>46054</v>
      </c>
      <c r="R1" s="6">
        <v>46082</v>
      </c>
      <c r="S1" s="6">
        <v>46113</v>
      </c>
      <c r="T1" s="6">
        <v>46143</v>
      </c>
      <c r="U1" s="6">
        <v>46174</v>
      </c>
      <c r="V1" s="6">
        <v>46204</v>
      </c>
      <c r="W1" s="7">
        <v>46235</v>
      </c>
      <c r="X1" s="6">
        <v>46266</v>
      </c>
      <c r="Y1" s="6">
        <v>46296</v>
      </c>
      <c r="Z1" s="6">
        <v>46327</v>
      </c>
      <c r="AA1" s="6">
        <v>46357</v>
      </c>
      <c r="AB1" s="6">
        <v>46388</v>
      </c>
      <c r="AC1" s="6">
        <v>46419</v>
      </c>
      <c r="AD1" s="6">
        <v>46447</v>
      </c>
      <c r="AE1" s="6">
        <v>46478</v>
      </c>
      <c r="AF1" s="2" t="s">
        <v>16</v>
      </c>
      <c r="AG1" s="2" t="s">
        <v>17</v>
      </c>
      <c r="AH1" s="2" t="s">
        <v>18</v>
      </c>
      <c r="AI1" s="1" t="s">
        <v>19</v>
      </c>
      <c r="AJ1" s="1" t="s">
        <v>20</v>
      </c>
      <c r="AK1" s="8" t="s">
        <v>21</v>
      </c>
    </row>
    <row r="2" spans="1:37">
      <c r="A2" s="10">
        <v>1</v>
      </c>
      <c r="B2" s="10">
        <v>2177</v>
      </c>
      <c r="C2" s="11" t="s">
        <v>22</v>
      </c>
      <c r="D2" s="10" t="s">
        <v>23</v>
      </c>
      <c r="E2" s="10" t="s">
        <v>24</v>
      </c>
      <c r="F2" s="11" t="s">
        <v>25</v>
      </c>
      <c r="G2" s="11" t="s">
        <v>26</v>
      </c>
      <c r="H2" s="9">
        <v>5000</v>
      </c>
      <c r="I2" s="12">
        <v>1200</v>
      </c>
      <c r="J2" s="12">
        <v>150</v>
      </c>
      <c r="K2" s="12"/>
      <c r="L2" s="12">
        <v>10067</v>
      </c>
      <c r="M2" s="11">
        <f>L2*4+AI2-AJ2</f>
        <v>40268</v>
      </c>
      <c r="N2" s="13"/>
      <c r="O2" s="12">
        <v>5000</v>
      </c>
      <c r="P2" s="12">
        <v>1200</v>
      </c>
      <c r="Q2" s="11">
        <f>10067+150</f>
        <v>10217</v>
      </c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3">
        <f>H2+I2+J2+K2+M2-N2</f>
        <v>46618</v>
      </c>
      <c r="AG2" s="13">
        <f>SUM(O2:AE2)</f>
        <v>16417</v>
      </c>
      <c r="AH2" s="13">
        <f>AF2-AG2</f>
        <v>30201</v>
      </c>
      <c r="AI2" s="12"/>
      <c r="AJ2" s="12"/>
      <c r="AK2" s="12"/>
    </row>
    <row r="3" spans="1:37">
      <c r="A3" s="10">
        <v>2</v>
      </c>
      <c r="B3" s="10">
        <v>2151</v>
      </c>
      <c r="C3" s="11" t="s">
        <v>27</v>
      </c>
      <c r="D3" s="10" t="s">
        <v>28</v>
      </c>
      <c r="E3" s="10" t="s">
        <v>24</v>
      </c>
      <c r="F3" s="11" t="s">
        <v>25</v>
      </c>
      <c r="G3" s="11" t="s">
        <v>26</v>
      </c>
      <c r="H3" s="9">
        <v>5000</v>
      </c>
      <c r="I3" s="12">
        <v>1200</v>
      </c>
      <c r="J3" s="12">
        <v>150</v>
      </c>
      <c r="K3" s="12"/>
      <c r="L3" s="12">
        <v>10067</v>
      </c>
      <c r="M3" s="11">
        <f>L3*4+AI3-AJ3</f>
        <v>40268</v>
      </c>
      <c r="N3" s="13"/>
      <c r="O3" s="12">
        <v>5000</v>
      </c>
      <c r="P3" s="12">
        <v>1200</v>
      </c>
      <c r="Q3" s="11">
        <f>10067+150</f>
        <v>10217</v>
      </c>
      <c r="R3" s="12"/>
      <c r="S3" s="12"/>
      <c r="T3" s="12"/>
      <c r="U3" s="12"/>
      <c r="V3" s="12">
        <v>10067</v>
      </c>
      <c r="W3" s="12"/>
      <c r="X3" s="12"/>
      <c r="Y3" s="12"/>
      <c r="Z3" s="12"/>
      <c r="AA3" s="12"/>
      <c r="AB3" s="12"/>
      <c r="AC3" s="12"/>
      <c r="AD3" s="12"/>
      <c r="AE3" s="12"/>
      <c r="AF3" s="13">
        <f>H3+I3+J3+K3+M3-N3</f>
        <v>46618</v>
      </c>
      <c r="AG3" s="13">
        <f>SUM(O3:AE3)</f>
        <v>26484</v>
      </c>
      <c r="AH3" s="13">
        <f>AF3-AG3</f>
        <v>20134</v>
      </c>
      <c r="AI3" s="12"/>
      <c r="AJ3" s="12"/>
      <c r="AK3" s="12"/>
    </row>
    <row r="4" spans="1:37">
      <c r="A4" s="10">
        <v>3</v>
      </c>
      <c r="B4" s="10">
        <v>2158</v>
      </c>
      <c r="C4" s="11" t="s">
        <v>29</v>
      </c>
      <c r="D4" s="10" t="s">
        <v>28</v>
      </c>
      <c r="E4" s="10" t="s">
        <v>24</v>
      </c>
      <c r="F4" s="11" t="s">
        <v>25</v>
      </c>
      <c r="G4" s="11" t="s">
        <v>26</v>
      </c>
      <c r="H4" s="9">
        <v>5000</v>
      </c>
      <c r="I4" s="12">
        <v>1200</v>
      </c>
      <c r="J4" s="12">
        <v>150</v>
      </c>
      <c r="K4" s="12"/>
      <c r="L4" s="12">
        <v>10067</v>
      </c>
      <c r="M4" s="11">
        <f>L4*4+AI4-AJ4</f>
        <v>40268</v>
      </c>
      <c r="N4" s="13"/>
      <c r="O4" s="12">
        <v>5000</v>
      </c>
      <c r="P4" s="12">
        <v>1200</v>
      </c>
      <c r="Q4" s="11">
        <f>10067+150</f>
        <v>10217</v>
      </c>
      <c r="R4" s="12"/>
      <c r="S4" s="12"/>
      <c r="T4" s="12"/>
      <c r="U4" s="12"/>
      <c r="V4" s="12">
        <v>10067</v>
      </c>
      <c r="W4" s="12"/>
      <c r="X4" s="12"/>
      <c r="Y4" s="12"/>
      <c r="Z4" s="12"/>
      <c r="AA4" s="12"/>
      <c r="AB4" s="12"/>
      <c r="AC4" s="12"/>
      <c r="AD4" s="12"/>
      <c r="AE4" s="12"/>
      <c r="AF4" s="13">
        <f>H4+I4+J4+K4+M4-N4</f>
        <v>46618</v>
      </c>
      <c r="AG4" s="13">
        <f>SUM(O4:AE4)</f>
        <v>26484</v>
      </c>
      <c r="AH4" s="13">
        <f>AF4-AG4</f>
        <v>20134</v>
      </c>
      <c r="AI4" s="12"/>
      <c r="AJ4" s="12"/>
      <c r="AK4" s="12"/>
    </row>
    <row r="5" spans="1:37">
      <c r="A5" s="10">
        <v>4</v>
      </c>
      <c r="B5" s="10">
        <v>2175</v>
      </c>
      <c r="C5" s="11" t="s">
        <v>30</v>
      </c>
      <c r="D5" s="10" t="s">
        <v>28</v>
      </c>
      <c r="E5" s="10" t="s">
        <v>24</v>
      </c>
      <c r="F5" s="11" t="s">
        <v>25</v>
      </c>
      <c r="G5" s="11" t="s">
        <v>26</v>
      </c>
      <c r="H5" s="9">
        <v>5000</v>
      </c>
      <c r="I5" s="12">
        <v>1200</v>
      </c>
      <c r="J5" s="12">
        <v>150</v>
      </c>
      <c r="K5" s="12"/>
      <c r="L5" s="12">
        <v>10067</v>
      </c>
      <c r="M5" s="11">
        <f>L5*4+AI5-AJ5</f>
        <v>40268</v>
      </c>
      <c r="N5" s="13">
        <v>2013</v>
      </c>
      <c r="O5" s="12">
        <v>5000</v>
      </c>
      <c r="P5" s="12">
        <v>1200</v>
      </c>
      <c r="Q5" s="12">
        <v>38405</v>
      </c>
      <c r="R5" s="12"/>
      <c r="S5" s="12"/>
      <c r="T5" s="12"/>
      <c r="U5" s="12"/>
      <c r="V5" s="12"/>
      <c r="W5" s="12"/>
      <c r="X5" s="12"/>
      <c r="Y5" s="12"/>
      <c r="Z5" s="12"/>
      <c r="AA5" s="12"/>
      <c r="AB5" s="12"/>
      <c r="AC5" s="12"/>
      <c r="AD5" s="12"/>
      <c r="AE5" s="12"/>
      <c r="AF5" s="13">
        <f>H5+I5+J5+K5+M5-N5</f>
        <v>44605</v>
      </c>
      <c r="AG5" s="13">
        <f>SUM(O5:AE5)</f>
        <v>44605</v>
      </c>
      <c r="AH5" s="13">
        <f>AF5-AG5</f>
        <v>0</v>
      </c>
      <c r="AI5" s="12"/>
      <c r="AJ5" s="12"/>
      <c r="AK5" s="12"/>
    </row>
    <row r="6" spans="1:37">
      <c r="A6" s="10">
        <v>5</v>
      </c>
      <c r="B6" s="10">
        <v>2180</v>
      </c>
      <c r="C6" s="11" t="s">
        <v>31</v>
      </c>
      <c r="D6" s="10" t="s">
        <v>23</v>
      </c>
      <c r="E6" s="10" t="s">
        <v>24</v>
      </c>
      <c r="F6" s="11" t="s">
        <v>25</v>
      </c>
      <c r="G6" s="11" t="s">
        <v>26</v>
      </c>
      <c r="H6" s="9">
        <v>5000</v>
      </c>
      <c r="I6" s="12">
        <v>1200</v>
      </c>
      <c r="J6" s="12">
        <v>150</v>
      </c>
      <c r="K6" s="12"/>
      <c r="L6" s="12">
        <v>10067</v>
      </c>
      <c r="M6" s="11">
        <f>L6*4+AI6-AJ6</f>
        <v>40268</v>
      </c>
      <c r="N6" s="13"/>
      <c r="O6" s="12">
        <v>5000</v>
      </c>
      <c r="P6" s="12">
        <v>1200</v>
      </c>
      <c r="Q6" s="11">
        <f>10067+150</f>
        <v>10217</v>
      </c>
      <c r="R6" s="12"/>
      <c r="S6" s="12"/>
      <c r="T6" s="12"/>
      <c r="U6" s="12"/>
      <c r="V6" s="12"/>
      <c r="W6" s="12"/>
      <c r="X6" s="12"/>
      <c r="Y6" s="12"/>
      <c r="Z6" s="12"/>
      <c r="AA6" s="12"/>
      <c r="AB6" s="12"/>
      <c r="AC6" s="12"/>
      <c r="AD6" s="12"/>
      <c r="AE6" s="12"/>
      <c r="AF6" s="13">
        <f>H6+I6+J6+K6+M6-N6</f>
        <v>46618</v>
      </c>
      <c r="AG6" s="13">
        <f>SUM(O6:AE6)</f>
        <v>16417</v>
      </c>
      <c r="AH6" s="13">
        <f>AF6-AG6</f>
        <v>30201</v>
      </c>
      <c r="AI6" s="12"/>
      <c r="AJ6" s="12"/>
      <c r="AK6" s="12"/>
    </row>
    <row r="7" spans="1:37">
      <c r="A7" s="10">
        <v>6</v>
      </c>
      <c r="B7" s="14">
        <v>2255</v>
      </c>
      <c r="C7" s="15" t="s">
        <v>32</v>
      </c>
      <c r="D7" s="14" t="s">
        <v>23</v>
      </c>
      <c r="E7" s="14" t="s">
        <v>24</v>
      </c>
      <c r="F7" s="15" t="s">
        <v>25</v>
      </c>
      <c r="G7" s="15" t="s">
        <v>26</v>
      </c>
      <c r="H7" s="9">
        <v>0</v>
      </c>
      <c r="I7" s="12">
        <v>1200</v>
      </c>
      <c r="J7" s="12">
        <v>0</v>
      </c>
      <c r="K7" s="12"/>
      <c r="L7" s="12">
        <v>0</v>
      </c>
      <c r="M7" s="11">
        <f>L7*4+AI7-AJ7</f>
        <v>0</v>
      </c>
      <c r="N7" s="13"/>
      <c r="O7" s="12">
        <v>0</v>
      </c>
      <c r="P7" s="12">
        <v>1200</v>
      </c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  <c r="AB7" s="12"/>
      <c r="AC7" s="12"/>
      <c r="AD7" s="12"/>
      <c r="AE7" s="12"/>
      <c r="AF7" s="13">
        <f>H7+I7+J7+K7+M7-N7</f>
        <v>1200</v>
      </c>
      <c r="AG7" s="13">
        <f>SUM(O7:AE7)</f>
        <v>1200</v>
      </c>
      <c r="AH7" s="13">
        <f>AF7-AG7</f>
        <v>0</v>
      </c>
      <c r="AI7" s="12"/>
      <c r="AJ7" s="12"/>
      <c r="AK7" s="12"/>
    </row>
    <row r="8" spans="1:37">
      <c r="A8" s="10">
        <v>7</v>
      </c>
      <c r="B8" s="10">
        <v>2185</v>
      </c>
      <c r="C8" s="11" t="s">
        <v>33</v>
      </c>
      <c r="D8" s="10" t="s">
        <v>28</v>
      </c>
      <c r="E8" s="10" t="s">
        <v>24</v>
      </c>
      <c r="F8" s="11" t="s">
        <v>25</v>
      </c>
      <c r="G8" s="11" t="s">
        <v>26</v>
      </c>
      <c r="H8" s="9">
        <v>5000</v>
      </c>
      <c r="I8" s="12">
        <v>1200</v>
      </c>
      <c r="J8" s="12">
        <v>150</v>
      </c>
      <c r="K8" s="12"/>
      <c r="L8" s="12">
        <v>10067</v>
      </c>
      <c r="M8" s="11">
        <f>L8*4+AI8-AJ8</f>
        <v>40268</v>
      </c>
      <c r="N8" s="13"/>
      <c r="O8" s="12">
        <v>5000</v>
      </c>
      <c r="P8" s="12">
        <v>1200</v>
      </c>
      <c r="Q8" s="11">
        <f>10067+150</f>
        <v>10217</v>
      </c>
      <c r="R8" s="12"/>
      <c r="S8" s="12"/>
      <c r="T8" s="12"/>
      <c r="U8" s="12"/>
      <c r="V8" s="12"/>
      <c r="W8" s="12"/>
      <c r="X8" s="12"/>
      <c r="Y8" s="12"/>
      <c r="Z8" s="12"/>
      <c r="AA8" s="12"/>
      <c r="AB8" s="12"/>
      <c r="AC8" s="12"/>
      <c r="AD8" s="12"/>
      <c r="AE8" s="12"/>
      <c r="AF8" s="13">
        <f>H8+I8+J8+K8+M8-N8</f>
        <v>46618</v>
      </c>
      <c r="AG8" s="13">
        <f>SUM(O8:AE8)</f>
        <v>16417</v>
      </c>
      <c r="AH8" s="13">
        <f>AF8-AG8</f>
        <v>30201</v>
      </c>
      <c r="AI8" s="12"/>
      <c r="AJ8" s="12"/>
      <c r="AK8" s="12"/>
    </row>
    <row r="9" spans="1:37">
      <c r="A9" s="10">
        <v>8</v>
      </c>
      <c r="B9" s="10">
        <v>2172</v>
      </c>
      <c r="C9" s="11" t="s">
        <v>34</v>
      </c>
      <c r="D9" s="10" t="s">
        <v>23</v>
      </c>
      <c r="E9" s="10" t="s">
        <v>24</v>
      </c>
      <c r="F9" s="11" t="s">
        <v>25</v>
      </c>
      <c r="G9" s="11" t="s">
        <v>26</v>
      </c>
      <c r="H9" s="9">
        <v>5000</v>
      </c>
      <c r="I9" s="12">
        <v>1200</v>
      </c>
      <c r="J9" s="12">
        <v>150</v>
      </c>
      <c r="K9" s="12"/>
      <c r="L9" s="12">
        <v>10067</v>
      </c>
      <c r="M9" s="11">
        <f>L9*4+AI9-AJ9</f>
        <v>40268</v>
      </c>
      <c r="N9" s="13"/>
      <c r="O9" s="12">
        <v>5000</v>
      </c>
      <c r="P9" s="12">
        <v>1200</v>
      </c>
      <c r="Q9" s="11">
        <f>10067+150</f>
        <v>10217</v>
      </c>
      <c r="R9" s="12"/>
      <c r="S9" s="12"/>
      <c r="T9" s="12"/>
      <c r="U9" s="12"/>
      <c r="V9" s="12">
        <v>10067</v>
      </c>
      <c r="W9" s="12"/>
      <c r="X9" s="12"/>
      <c r="Y9" s="12"/>
      <c r="Z9" s="12"/>
      <c r="AA9" s="12"/>
      <c r="AB9" s="12"/>
      <c r="AC9" s="12"/>
      <c r="AD9" s="12"/>
      <c r="AE9" s="12"/>
      <c r="AF9" s="13">
        <f>H9+I9+J9+K9+M9-N9</f>
        <v>46618</v>
      </c>
      <c r="AG9" s="13">
        <f>SUM(O9:AE9)</f>
        <v>26484</v>
      </c>
      <c r="AH9" s="13">
        <f>AF9-AG9</f>
        <v>20134</v>
      </c>
      <c r="AI9" s="12"/>
      <c r="AJ9" s="12"/>
      <c r="AK9" s="12"/>
    </row>
    <row r="10" spans="1:37">
      <c r="A10" s="10">
        <v>9</v>
      </c>
      <c r="B10" s="10">
        <v>2142</v>
      </c>
      <c r="C10" s="11" t="s">
        <v>35</v>
      </c>
      <c r="D10" s="10" t="s">
        <v>23</v>
      </c>
      <c r="E10" s="10" t="s">
        <v>24</v>
      </c>
      <c r="F10" s="11" t="s">
        <v>25</v>
      </c>
      <c r="G10" s="11" t="s">
        <v>26</v>
      </c>
      <c r="H10" s="9">
        <v>5000</v>
      </c>
      <c r="I10" s="12">
        <v>1200</v>
      </c>
      <c r="J10" s="12">
        <v>150</v>
      </c>
      <c r="K10" s="12"/>
      <c r="L10" s="12">
        <v>10067</v>
      </c>
      <c r="M10" s="11">
        <f>L10*4+AI10-AJ10</f>
        <v>40268</v>
      </c>
      <c r="N10" s="13"/>
      <c r="O10" s="12">
        <v>5000</v>
      </c>
      <c r="P10" s="12">
        <v>1200</v>
      </c>
      <c r="Q10" s="11">
        <f>10067+150</f>
        <v>10217</v>
      </c>
      <c r="R10" s="12"/>
      <c r="S10" s="12"/>
      <c r="T10" s="12"/>
      <c r="U10" s="12"/>
      <c r="V10" s="12">
        <v>10067</v>
      </c>
      <c r="W10" s="12"/>
      <c r="X10" s="12"/>
      <c r="Y10" s="12"/>
      <c r="Z10" s="12"/>
      <c r="AA10" s="12"/>
      <c r="AB10" s="12"/>
      <c r="AC10" s="12"/>
      <c r="AD10" s="12"/>
      <c r="AE10" s="12"/>
      <c r="AF10" s="13">
        <f>H10+I10+J10+K10+M10-N10</f>
        <v>46618</v>
      </c>
      <c r="AG10" s="13">
        <f>SUM(O10:AE10)</f>
        <v>26484</v>
      </c>
      <c r="AH10" s="13">
        <f>AF10-AG10</f>
        <v>20134</v>
      </c>
      <c r="AI10" s="12"/>
      <c r="AJ10" s="12"/>
      <c r="AK10" s="12"/>
    </row>
    <row r="11" spans="1:37">
      <c r="A11" s="10">
        <v>10</v>
      </c>
      <c r="B11" s="10">
        <v>2199</v>
      </c>
      <c r="C11" s="11" t="s">
        <v>36</v>
      </c>
      <c r="D11" s="10" t="s">
        <v>23</v>
      </c>
      <c r="E11" s="10" t="s">
        <v>24</v>
      </c>
      <c r="F11" s="11" t="s">
        <v>25</v>
      </c>
      <c r="G11" s="11" t="s">
        <v>26</v>
      </c>
      <c r="H11" s="9">
        <v>5000</v>
      </c>
      <c r="I11" s="12">
        <v>1200</v>
      </c>
      <c r="J11" s="12">
        <v>150</v>
      </c>
      <c r="K11" s="12"/>
      <c r="L11" s="12">
        <v>10067</v>
      </c>
      <c r="M11" s="11">
        <f>L11*4+AI11-AJ11</f>
        <v>40268</v>
      </c>
      <c r="N11" s="13"/>
      <c r="O11" s="12">
        <v>5000</v>
      </c>
      <c r="P11" s="12">
        <v>1200</v>
      </c>
      <c r="Q11" s="11">
        <f>10067+150</f>
        <v>10217</v>
      </c>
      <c r="R11" s="12"/>
      <c r="S11" s="12"/>
      <c r="T11" s="12"/>
      <c r="U11" s="12"/>
      <c r="V11" s="12">
        <v>10067</v>
      </c>
      <c r="W11" s="12"/>
      <c r="X11" s="12"/>
      <c r="Y11" s="12"/>
      <c r="Z11" s="12"/>
      <c r="AA11" s="12"/>
      <c r="AB11" s="12"/>
      <c r="AC11" s="12"/>
      <c r="AD11" s="12"/>
      <c r="AE11" s="12"/>
      <c r="AF11" s="13">
        <f>H11+I11+J11+K11+M11-N11</f>
        <v>46618</v>
      </c>
      <c r="AG11" s="13">
        <f>SUM(O11:AE11)</f>
        <v>26484</v>
      </c>
      <c r="AH11" s="13">
        <f>AF11-AG11</f>
        <v>20134</v>
      </c>
      <c r="AI11" s="12"/>
      <c r="AJ11" s="12"/>
      <c r="AK11" s="12"/>
    </row>
    <row r="12" spans="1:37">
      <c r="A12" s="10">
        <v>11</v>
      </c>
      <c r="B12" s="10">
        <v>2182</v>
      </c>
      <c r="C12" s="11" t="s">
        <v>37</v>
      </c>
      <c r="D12" s="10" t="s">
        <v>28</v>
      </c>
      <c r="E12" s="10" t="s">
        <v>24</v>
      </c>
      <c r="F12" s="11" t="s">
        <v>25</v>
      </c>
      <c r="G12" s="11" t="s">
        <v>26</v>
      </c>
      <c r="H12" s="9">
        <v>5000</v>
      </c>
      <c r="I12" s="12">
        <v>1200</v>
      </c>
      <c r="J12" s="12">
        <v>150</v>
      </c>
      <c r="K12" s="12"/>
      <c r="L12" s="12">
        <v>10067</v>
      </c>
      <c r="M12" s="11">
        <f>L12*4+AI12-AJ12</f>
        <v>40268</v>
      </c>
      <c r="N12" s="13"/>
      <c r="O12" s="12">
        <v>5000</v>
      </c>
      <c r="P12" s="12">
        <v>1200</v>
      </c>
      <c r="Q12" s="11">
        <f>10067+150</f>
        <v>10217</v>
      </c>
      <c r="R12" s="12"/>
      <c r="S12" s="12"/>
      <c r="T12" s="12"/>
      <c r="U12" s="12"/>
      <c r="V12" s="12">
        <v>10067</v>
      </c>
      <c r="W12" s="12"/>
      <c r="X12" s="12"/>
      <c r="Y12" s="12"/>
      <c r="Z12" s="12"/>
      <c r="AA12" s="12"/>
      <c r="AB12" s="12"/>
      <c r="AC12" s="12"/>
      <c r="AD12" s="12"/>
      <c r="AE12" s="12"/>
      <c r="AF12" s="13">
        <f>H12+I12+J12+K12+M12-N12</f>
        <v>46618</v>
      </c>
      <c r="AG12" s="13">
        <f>SUM(O12:AE12)</f>
        <v>26484</v>
      </c>
      <c r="AH12" s="13">
        <f>AF12-AG12</f>
        <v>20134</v>
      </c>
      <c r="AI12" s="12"/>
      <c r="AJ12" s="12"/>
      <c r="AK12" s="12"/>
    </row>
    <row r="13" spans="1:37">
      <c r="A13" s="10">
        <v>12</v>
      </c>
      <c r="B13" s="14">
        <v>2253</v>
      </c>
      <c r="C13" s="15" t="s">
        <v>38</v>
      </c>
      <c r="D13" s="14" t="s">
        <v>23</v>
      </c>
      <c r="E13" s="14" t="s">
        <v>24</v>
      </c>
      <c r="F13" s="15" t="s">
        <v>25</v>
      </c>
      <c r="G13" s="15" t="s">
        <v>26</v>
      </c>
      <c r="H13" s="9">
        <v>0</v>
      </c>
      <c r="I13" s="12">
        <v>1200</v>
      </c>
      <c r="J13" s="12">
        <v>0</v>
      </c>
      <c r="K13" s="12"/>
      <c r="L13" s="12">
        <v>0</v>
      </c>
      <c r="M13" s="11">
        <f>L13*4+AI13-AJ13</f>
        <v>0</v>
      </c>
      <c r="N13" s="13"/>
      <c r="O13" s="12">
        <v>0</v>
      </c>
      <c r="P13" s="12">
        <v>1200</v>
      </c>
      <c r="Q13" s="12">
        <v>0</v>
      </c>
      <c r="R13" s="12"/>
      <c r="S13" s="12"/>
      <c r="T13" s="12"/>
      <c r="U13" s="12"/>
      <c r="V13" s="12"/>
      <c r="W13" s="12"/>
      <c r="X13" s="12"/>
      <c r="Y13" s="12"/>
      <c r="Z13" s="12"/>
      <c r="AA13" s="12"/>
      <c r="AB13" s="12"/>
      <c r="AC13" s="12"/>
      <c r="AD13" s="12"/>
      <c r="AE13" s="12"/>
      <c r="AF13" s="13">
        <f>H13+I13+J13+K13+M13-N13</f>
        <v>1200</v>
      </c>
      <c r="AG13" s="13">
        <f>SUM(O13:AE13)</f>
        <v>1200</v>
      </c>
      <c r="AH13" s="13">
        <f>AF13-AG13</f>
        <v>0</v>
      </c>
      <c r="AI13" s="12"/>
      <c r="AJ13" s="12"/>
      <c r="AK13" s="12"/>
    </row>
    <row r="14" spans="1:37">
      <c r="A14" s="10">
        <v>13</v>
      </c>
      <c r="B14" s="10">
        <v>2166</v>
      </c>
      <c r="C14" s="11" t="s">
        <v>39</v>
      </c>
      <c r="D14" s="10" t="s">
        <v>28</v>
      </c>
      <c r="E14" s="10" t="s">
        <v>24</v>
      </c>
      <c r="F14" s="11" t="s">
        <v>25</v>
      </c>
      <c r="G14" s="11" t="s">
        <v>26</v>
      </c>
      <c r="H14" s="9">
        <v>5000</v>
      </c>
      <c r="I14" s="12">
        <v>1200</v>
      </c>
      <c r="J14" s="12">
        <v>150</v>
      </c>
      <c r="K14" s="12"/>
      <c r="L14" s="12">
        <v>10067</v>
      </c>
      <c r="M14" s="11">
        <f>L14*4+AI14-AJ14</f>
        <v>40268</v>
      </c>
      <c r="N14" s="13"/>
      <c r="O14" s="12">
        <v>5000</v>
      </c>
      <c r="P14" s="12">
        <v>1200</v>
      </c>
      <c r="Q14" s="11">
        <f>10067+150</f>
        <v>10217</v>
      </c>
      <c r="R14" s="12"/>
      <c r="S14" s="12"/>
      <c r="T14" s="12"/>
      <c r="U14" s="12"/>
      <c r="V14" s="12">
        <v>10067</v>
      </c>
      <c r="W14" s="12"/>
      <c r="X14" s="12"/>
      <c r="Y14" s="12"/>
      <c r="Z14" s="12"/>
      <c r="AA14" s="12"/>
      <c r="AB14" s="12"/>
      <c r="AC14" s="12"/>
      <c r="AD14" s="12"/>
      <c r="AE14" s="12"/>
      <c r="AF14" s="13">
        <f>H14+I14+J14+K14+M14-N14</f>
        <v>46618</v>
      </c>
      <c r="AG14" s="13">
        <f>SUM(O14:AE14)</f>
        <v>26484</v>
      </c>
      <c r="AH14" s="13">
        <f>AF14-AG14</f>
        <v>20134</v>
      </c>
      <c r="AI14" s="12"/>
      <c r="AJ14" s="12"/>
      <c r="AK14" s="12"/>
    </row>
    <row r="15" spans="1:37">
      <c r="A15" s="10">
        <v>14</v>
      </c>
      <c r="B15" s="14">
        <v>2227</v>
      </c>
      <c r="C15" s="15" t="s">
        <v>40</v>
      </c>
      <c r="D15" s="14" t="s">
        <v>23</v>
      </c>
      <c r="E15" s="14" t="s">
        <v>24</v>
      </c>
      <c r="F15" s="15" t="s">
        <v>25</v>
      </c>
      <c r="G15" s="15" t="s">
        <v>26</v>
      </c>
      <c r="H15" s="9">
        <v>0</v>
      </c>
      <c r="I15" s="12">
        <v>1200</v>
      </c>
      <c r="J15" s="12">
        <v>0</v>
      </c>
      <c r="K15" s="12"/>
      <c r="L15" s="12">
        <v>0</v>
      </c>
      <c r="M15" s="11">
        <f>L15*4+AI15-AJ15</f>
        <v>0</v>
      </c>
      <c r="N15" s="13"/>
      <c r="O15" s="12">
        <v>0</v>
      </c>
      <c r="P15" s="12">
        <v>1200</v>
      </c>
      <c r="Q15" s="12">
        <v>0</v>
      </c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3">
        <f>H15+I15+J15+K15+M15-N15</f>
        <v>1200</v>
      </c>
      <c r="AG15" s="13">
        <f>SUM(O15:AE15)</f>
        <v>1200</v>
      </c>
      <c r="AH15" s="13">
        <f>AF15-AG15</f>
        <v>0</v>
      </c>
      <c r="AI15" s="12"/>
      <c r="AJ15" s="12"/>
      <c r="AK15" s="12"/>
    </row>
    <row r="16" spans="1:37">
      <c r="A16" s="10">
        <v>15</v>
      </c>
      <c r="B16" s="10">
        <v>2169</v>
      </c>
      <c r="C16" s="11" t="s">
        <v>41</v>
      </c>
      <c r="D16" s="10" t="s">
        <v>28</v>
      </c>
      <c r="E16" s="10" t="s">
        <v>24</v>
      </c>
      <c r="F16" s="11" t="s">
        <v>25</v>
      </c>
      <c r="G16" s="11" t="s">
        <v>26</v>
      </c>
      <c r="H16" s="9">
        <v>5000</v>
      </c>
      <c r="I16" s="12">
        <v>1200</v>
      </c>
      <c r="J16" s="12">
        <v>150</v>
      </c>
      <c r="K16" s="12"/>
      <c r="L16" s="12">
        <v>10067</v>
      </c>
      <c r="M16" s="11">
        <f>L16*4+AI16-AJ16</f>
        <v>40268</v>
      </c>
      <c r="N16" s="13"/>
      <c r="O16" s="12">
        <v>5000</v>
      </c>
      <c r="P16" s="12">
        <v>1200</v>
      </c>
      <c r="Q16" s="11">
        <f>10067+150</f>
        <v>10217</v>
      </c>
      <c r="R16" s="12"/>
      <c r="S16" s="12"/>
      <c r="T16" s="12"/>
      <c r="U16" s="12"/>
      <c r="V16" s="12">
        <v>10067</v>
      </c>
      <c r="W16" s="12"/>
      <c r="X16" s="12"/>
      <c r="Y16" s="12"/>
      <c r="Z16" s="12"/>
      <c r="AA16" s="12"/>
      <c r="AB16" s="12"/>
      <c r="AC16" s="12"/>
      <c r="AD16" s="12"/>
      <c r="AE16" s="12"/>
      <c r="AF16" s="13">
        <f>H16+I16+J16+K16+M16-N16</f>
        <v>46618</v>
      </c>
      <c r="AG16" s="13">
        <f>SUM(O16:AE16)</f>
        <v>26484</v>
      </c>
      <c r="AH16" s="13">
        <f>AF16-AG16</f>
        <v>20134</v>
      </c>
      <c r="AI16" s="12"/>
      <c r="AJ16" s="12"/>
      <c r="AK16" s="12"/>
    </row>
    <row r="17" spans="1:37">
      <c r="A17" s="10">
        <v>16</v>
      </c>
      <c r="B17" s="14">
        <v>2234</v>
      </c>
      <c r="C17" s="15" t="s">
        <v>42</v>
      </c>
      <c r="D17" s="14" t="s">
        <v>23</v>
      </c>
      <c r="E17" s="14" t="s">
        <v>24</v>
      </c>
      <c r="F17" s="15" t="s">
        <v>25</v>
      </c>
      <c r="G17" s="15" t="s">
        <v>26</v>
      </c>
      <c r="H17" s="9">
        <v>0</v>
      </c>
      <c r="I17" s="12">
        <v>1200</v>
      </c>
      <c r="J17" s="12">
        <v>0</v>
      </c>
      <c r="K17" s="12"/>
      <c r="L17" s="12">
        <v>0</v>
      </c>
      <c r="M17" s="11">
        <f>L17*4+AI17-AJ17</f>
        <v>0</v>
      </c>
      <c r="N17" s="13"/>
      <c r="O17" s="12">
        <v>0</v>
      </c>
      <c r="P17" s="12">
        <v>1200</v>
      </c>
      <c r="Q17" s="12">
        <v>0</v>
      </c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3">
        <f>H17+I17+J17+K17+M17-N17</f>
        <v>1200</v>
      </c>
      <c r="AG17" s="13">
        <f>SUM(O17:AE17)</f>
        <v>1200</v>
      </c>
      <c r="AH17" s="13">
        <f>AF17-AG17</f>
        <v>0</v>
      </c>
      <c r="AI17" s="12"/>
      <c r="AJ17" s="12"/>
      <c r="AK17" s="12"/>
    </row>
    <row r="18" spans="1:37">
      <c r="A18" s="10">
        <v>17</v>
      </c>
      <c r="B18" s="10">
        <v>2187</v>
      </c>
      <c r="C18" s="11" t="s">
        <v>43</v>
      </c>
      <c r="D18" s="10" t="s">
        <v>23</v>
      </c>
      <c r="E18" s="10" t="s">
        <v>24</v>
      </c>
      <c r="F18" s="11" t="s">
        <v>25</v>
      </c>
      <c r="G18" s="11" t="s">
        <v>26</v>
      </c>
      <c r="H18" s="9">
        <v>5000</v>
      </c>
      <c r="I18" s="12">
        <v>1200</v>
      </c>
      <c r="J18" s="12">
        <v>150</v>
      </c>
      <c r="K18" s="12"/>
      <c r="L18" s="12">
        <v>10067</v>
      </c>
      <c r="M18" s="11">
        <f>L18*4+AI18-AJ18</f>
        <v>40268</v>
      </c>
      <c r="N18" s="13"/>
      <c r="O18" s="12">
        <v>5000</v>
      </c>
      <c r="P18" s="12">
        <v>1200</v>
      </c>
      <c r="Q18" s="11">
        <f>10067+150</f>
        <v>10217</v>
      </c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3">
        <f>H18+I18+J18+K18+M18-N18</f>
        <v>46618</v>
      </c>
      <c r="AG18" s="13">
        <f>SUM(O18:AE18)</f>
        <v>16417</v>
      </c>
      <c r="AH18" s="13">
        <f>AF18-AG18</f>
        <v>30201</v>
      </c>
      <c r="AI18" s="12"/>
      <c r="AJ18" s="12"/>
      <c r="AK18" s="12"/>
    </row>
    <row r="19" spans="1:37">
      <c r="A19" s="10">
        <v>18</v>
      </c>
      <c r="B19" s="10">
        <v>2149</v>
      </c>
      <c r="C19" s="11" t="s">
        <v>44</v>
      </c>
      <c r="D19" s="10" t="s">
        <v>28</v>
      </c>
      <c r="E19" s="10" t="s">
        <v>24</v>
      </c>
      <c r="F19" s="11" t="s">
        <v>25</v>
      </c>
      <c r="G19" s="11" t="s">
        <v>26</v>
      </c>
      <c r="H19" s="9">
        <v>5000</v>
      </c>
      <c r="I19" s="12">
        <v>1200</v>
      </c>
      <c r="J19" s="12">
        <v>150</v>
      </c>
      <c r="K19" s="12"/>
      <c r="L19" s="12">
        <v>10067</v>
      </c>
      <c r="M19" s="11">
        <f>L19*4+AI19-AJ19</f>
        <v>40268</v>
      </c>
      <c r="N19" s="13"/>
      <c r="O19" s="12">
        <v>5000</v>
      </c>
      <c r="P19" s="12">
        <v>1200</v>
      </c>
      <c r="Q19" s="11">
        <f>10067+150</f>
        <v>10217</v>
      </c>
      <c r="R19" s="12"/>
      <c r="S19" s="12"/>
      <c r="T19" s="12"/>
      <c r="U19" s="12"/>
      <c r="V19" s="12">
        <v>10067</v>
      </c>
      <c r="W19" s="12"/>
      <c r="X19" s="12"/>
      <c r="Y19" s="12"/>
      <c r="Z19" s="12"/>
      <c r="AA19" s="12"/>
      <c r="AB19" s="12"/>
      <c r="AC19" s="12"/>
      <c r="AD19" s="12"/>
      <c r="AE19" s="12"/>
      <c r="AF19" s="13">
        <f>H19+I19+J19+K19+M19-N19</f>
        <v>46618</v>
      </c>
      <c r="AG19" s="13">
        <f>SUM(O19:AE19)</f>
        <v>26484</v>
      </c>
      <c r="AH19" s="13">
        <f>AF19-AG19</f>
        <v>20134</v>
      </c>
      <c r="AI19" s="12"/>
      <c r="AJ19" s="12"/>
      <c r="AK19" s="12"/>
    </row>
    <row r="20" spans="1:37">
      <c r="A20" s="10">
        <v>19</v>
      </c>
      <c r="B20" s="14">
        <v>2254</v>
      </c>
      <c r="C20" s="15" t="s">
        <v>45</v>
      </c>
      <c r="D20" s="14" t="s">
        <v>28</v>
      </c>
      <c r="E20" s="14" t="s">
        <v>24</v>
      </c>
      <c r="F20" s="15" t="s">
        <v>25</v>
      </c>
      <c r="G20" s="15" t="s">
        <v>26</v>
      </c>
      <c r="H20" s="9">
        <v>0</v>
      </c>
      <c r="I20" s="12">
        <v>1200</v>
      </c>
      <c r="J20" s="12">
        <v>0</v>
      </c>
      <c r="K20" s="12"/>
      <c r="L20" s="12">
        <v>0</v>
      </c>
      <c r="M20" s="11">
        <f>L20*4+AI20-AJ20</f>
        <v>0</v>
      </c>
      <c r="N20" s="13"/>
      <c r="O20" s="12">
        <v>0</v>
      </c>
      <c r="P20" s="12">
        <v>1200</v>
      </c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3">
        <f>H20+I20+J20+K20+M20-N20</f>
        <v>1200</v>
      </c>
      <c r="AG20" s="13">
        <f>SUM(O20:AE20)</f>
        <v>1200</v>
      </c>
      <c r="AH20" s="13">
        <f>AF20-AG20</f>
        <v>0</v>
      </c>
      <c r="AI20" s="12"/>
      <c r="AJ20" s="12"/>
      <c r="AK20" s="12"/>
    </row>
    <row r="21" spans="1:37">
      <c r="A21" s="10">
        <v>20</v>
      </c>
      <c r="B21" s="10">
        <v>2157</v>
      </c>
      <c r="C21" s="11" t="s">
        <v>46</v>
      </c>
      <c r="D21" s="10" t="s">
        <v>23</v>
      </c>
      <c r="E21" s="10" t="s">
        <v>24</v>
      </c>
      <c r="F21" s="11" t="s">
        <v>25</v>
      </c>
      <c r="G21" s="11" t="s">
        <v>26</v>
      </c>
      <c r="H21" s="9">
        <v>5000</v>
      </c>
      <c r="I21" s="12">
        <v>1200</v>
      </c>
      <c r="J21" s="12">
        <v>150</v>
      </c>
      <c r="K21" s="12"/>
      <c r="L21" s="12">
        <v>10067</v>
      </c>
      <c r="M21" s="11">
        <f>L21*4+AI21-AJ21</f>
        <v>40268</v>
      </c>
      <c r="N21" s="13"/>
      <c r="O21" s="12">
        <v>5000</v>
      </c>
      <c r="P21" s="12">
        <v>1200</v>
      </c>
      <c r="Q21" s="11">
        <f>10067+150</f>
        <v>10217</v>
      </c>
      <c r="R21" s="12"/>
      <c r="S21" s="12"/>
      <c r="T21" s="12"/>
      <c r="U21" s="12"/>
      <c r="V21" s="12">
        <v>10067</v>
      </c>
      <c r="W21" s="12"/>
      <c r="X21" s="12"/>
      <c r="Y21" s="12"/>
      <c r="Z21" s="12"/>
      <c r="AA21" s="12"/>
      <c r="AB21" s="12"/>
      <c r="AC21" s="12"/>
      <c r="AD21" s="12"/>
      <c r="AE21" s="12"/>
      <c r="AF21" s="13">
        <f>H21+I21+J21+K21+M21-N21</f>
        <v>46618</v>
      </c>
      <c r="AG21" s="13">
        <f>SUM(O21:AE21)</f>
        <v>26484</v>
      </c>
      <c r="AH21" s="13">
        <f>AF21-AG21</f>
        <v>20134</v>
      </c>
      <c r="AI21" s="12"/>
      <c r="AJ21" s="12"/>
      <c r="AK21" s="12"/>
    </row>
    <row r="22" spans="1:37">
      <c r="A22" s="10">
        <v>21</v>
      </c>
      <c r="B22" s="10">
        <v>2189</v>
      </c>
      <c r="C22" s="11" t="s">
        <v>47</v>
      </c>
      <c r="D22" s="10" t="s">
        <v>28</v>
      </c>
      <c r="E22" s="10" t="s">
        <v>24</v>
      </c>
      <c r="F22" s="11" t="s">
        <v>25</v>
      </c>
      <c r="G22" s="11" t="s">
        <v>26</v>
      </c>
      <c r="H22" s="9">
        <v>5000</v>
      </c>
      <c r="I22" s="12">
        <v>1200</v>
      </c>
      <c r="J22" s="12">
        <v>150</v>
      </c>
      <c r="K22" s="12"/>
      <c r="L22" s="12">
        <v>10067</v>
      </c>
      <c r="M22" s="11">
        <f>L22*4+AI22-AJ22</f>
        <v>40268</v>
      </c>
      <c r="N22" s="13"/>
      <c r="O22" s="12">
        <v>5000</v>
      </c>
      <c r="P22" s="12">
        <v>1200</v>
      </c>
      <c r="Q22" s="11">
        <f>10067+150</f>
        <v>10217</v>
      </c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3">
        <f>H22+I22+J22+K22+M22-N22</f>
        <v>46618</v>
      </c>
      <c r="AG22" s="13">
        <f>SUM(O22:AE22)</f>
        <v>16417</v>
      </c>
      <c r="AH22" s="13">
        <f>AF22-AG22</f>
        <v>30201</v>
      </c>
      <c r="AI22" s="12"/>
      <c r="AJ22" s="12"/>
      <c r="AK22" s="12"/>
    </row>
    <row r="23" spans="1:37">
      <c r="A23" s="10">
        <v>22</v>
      </c>
      <c r="B23" s="10">
        <v>2179</v>
      </c>
      <c r="C23" s="11" t="s">
        <v>48</v>
      </c>
      <c r="D23" s="10" t="s">
        <v>28</v>
      </c>
      <c r="E23" s="10" t="s">
        <v>24</v>
      </c>
      <c r="F23" s="11" t="s">
        <v>25</v>
      </c>
      <c r="G23" s="11" t="s">
        <v>26</v>
      </c>
      <c r="H23" s="9">
        <v>5000</v>
      </c>
      <c r="I23" s="12">
        <v>1200</v>
      </c>
      <c r="J23" s="12">
        <v>150</v>
      </c>
      <c r="K23" s="12"/>
      <c r="L23" s="12">
        <v>10067</v>
      </c>
      <c r="M23" s="11">
        <f>L23*4+AI23-AJ23</f>
        <v>40268</v>
      </c>
      <c r="N23" s="13"/>
      <c r="O23" s="12">
        <v>5000</v>
      </c>
      <c r="P23" s="12">
        <v>1200</v>
      </c>
      <c r="Q23" s="11">
        <f>10067+150</f>
        <v>10217</v>
      </c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3">
        <f>H23+I23+J23+K23+M23-N23</f>
        <v>46618</v>
      </c>
      <c r="AG23" s="13">
        <f>SUM(O23:AE23)</f>
        <v>16417</v>
      </c>
      <c r="AH23" s="13">
        <f>AF23-AG23</f>
        <v>30201</v>
      </c>
      <c r="AI23" s="12"/>
      <c r="AJ23" s="12"/>
      <c r="AK23" s="12"/>
    </row>
    <row r="24" spans="1:37">
      <c r="A24" s="10">
        <v>23</v>
      </c>
      <c r="B24" s="10">
        <v>2171</v>
      </c>
      <c r="C24" s="11" t="s">
        <v>49</v>
      </c>
      <c r="D24" s="10" t="s">
        <v>23</v>
      </c>
      <c r="E24" s="10" t="s">
        <v>24</v>
      </c>
      <c r="F24" s="11" t="s">
        <v>25</v>
      </c>
      <c r="G24" s="11" t="s">
        <v>26</v>
      </c>
      <c r="H24" s="9">
        <v>5000</v>
      </c>
      <c r="I24" s="12">
        <v>1200</v>
      </c>
      <c r="J24" s="12">
        <v>150</v>
      </c>
      <c r="K24" s="12"/>
      <c r="L24" s="12">
        <v>10067</v>
      </c>
      <c r="M24" s="11">
        <f>L24*4+AI24-AJ24</f>
        <v>40268</v>
      </c>
      <c r="N24" s="13"/>
      <c r="O24" s="12">
        <v>5000</v>
      </c>
      <c r="P24" s="12">
        <v>1200</v>
      </c>
      <c r="Q24" s="11">
        <f>10067+150</f>
        <v>10217</v>
      </c>
      <c r="R24" s="12"/>
      <c r="S24" s="12"/>
      <c r="T24" s="12"/>
      <c r="U24" s="12"/>
      <c r="V24" s="12">
        <v>10067</v>
      </c>
      <c r="W24" s="12"/>
      <c r="X24" s="12"/>
      <c r="Y24" s="12"/>
      <c r="Z24" s="12"/>
      <c r="AA24" s="12"/>
      <c r="AB24" s="12"/>
      <c r="AC24" s="12"/>
      <c r="AD24" s="12"/>
      <c r="AE24" s="12"/>
      <c r="AF24" s="13">
        <f>H24+I24+J24+K24+M24-N24</f>
        <v>46618</v>
      </c>
      <c r="AG24" s="13">
        <f>SUM(O24:AE24)</f>
        <v>26484</v>
      </c>
      <c r="AH24" s="13">
        <f>AF24-AG24</f>
        <v>20134</v>
      </c>
      <c r="AI24" s="12"/>
      <c r="AJ24" s="12"/>
      <c r="AK24" s="12"/>
    </row>
    <row r="25" spans="1:37">
      <c r="A25" s="10">
        <v>24</v>
      </c>
      <c r="B25" s="10">
        <v>2155</v>
      </c>
      <c r="C25" s="11" t="s">
        <v>50</v>
      </c>
      <c r="D25" s="10" t="s">
        <v>28</v>
      </c>
      <c r="E25" s="10" t="s">
        <v>24</v>
      </c>
      <c r="F25" s="11" t="s">
        <v>25</v>
      </c>
      <c r="G25" s="11" t="s">
        <v>26</v>
      </c>
      <c r="H25" s="9">
        <v>5000</v>
      </c>
      <c r="I25" s="12">
        <v>1200</v>
      </c>
      <c r="J25" s="12">
        <v>150</v>
      </c>
      <c r="K25" s="12"/>
      <c r="L25" s="12">
        <v>10067</v>
      </c>
      <c r="M25" s="11">
        <f>L25*4+AI25-AJ25</f>
        <v>40268</v>
      </c>
      <c r="N25" s="13"/>
      <c r="O25" s="12">
        <v>5000</v>
      </c>
      <c r="P25" s="12">
        <v>1200</v>
      </c>
      <c r="Q25" s="11">
        <f>10067+150</f>
        <v>10217</v>
      </c>
      <c r="R25" s="12"/>
      <c r="S25" s="12"/>
      <c r="T25" s="12"/>
      <c r="U25" s="12"/>
      <c r="V25" s="12">
        <v>10067</v>
      </c>
      <c r="W25" s="12"/>
      <c r="X25" s="12"/>
      <c r="Y25" s="12"/>
      <c r="Z25" s="12"/>
      <c r="AA25" s="12"/>
      <c r="AB25" s="12"/>
      <c r="AC25" s="12"/>
      <c r="AD25" s="12"/>
      <c r="AE25" s="12"/>
      <c r="AF25" s="13">
        <f>H25+I25+J25+K25+M25-N25</f>
        <v>46618</v>
      </c>
      <c r="AG25" s="13">
        <f>SUM(O25:AE25)</f>
        <v>26484</v>
      </c>
      <c r="AH25" s="13">
        <f>AF25-AG25</f>
        <v>20134</v>
      </c>
      <c r="AI25" s="12"/>
      <c r="AJ25" s="12"/>
      <c r="AK25" s="12"/>
    </row>
    <row r="26" spans="1:37">
      <c r="A26" s="10">
        <v>25</v>
      </c>
      <c r="B26" s="10">
        <v>2198</v>
      </c>
      <c r="C26" s="11" t="s">
        <v>51</v>
      </c>
      <c r="D26" s="10" t="s">
        <v>23</v>
      </c>
      <c r="E26" s="10" t="s">
        <v>24</v>
      </c>
      <c r="F26" s="11" t="s">
        <v>25</v>
      </c>
      <c r="G26" s="11" t="s">
        <v>26</v>
      </c>
      <c r="H26" s="9">
        <v>5000</v>
      </c>
      <c r="I26" s="12">
        <v>1200</v>
      </c>
      <c r="J26" s="12">
        <v>150</v>
      </c>
      <c r="K26" s="12"/>
      <c r="L26" s="12">
        <v>10067</v>
      </c>
      <c r="M26" s="11">
        <f>L26*4+AI26-AJ26</f>
        <v>40268</v>
      </c>
      <c r="N26" s="13"/>
      <c r="O26" s="12">
        <v>5000</v>
      </c>
      <c r="P26" s="12">
        <v>1200</v>
      </c>
      <c r="Q26" s="11">
        <f>10067+150</f>
        <v>10217</v>
      </c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3">
        <f>H26+I26+J26+K26+M26-N26</f>
        <v>46618</v>
      </c>
      <c r="AG26" s="13">
        <f>SUM(O26:AE26)</f>
        <v>16417</v>
      </c>
      <c r="AH26" s="13">
        <f>AF26-AG26</f>
        <v>30201</v>
      </c>
      <c r="AI26" s="12"/>
      <c r="AJ26" s="12"/>
      <c r="AK26" s="12"/>
    </row>
    <row r="27" spans="1:37">
      <c r="A27" s="10">
        <v>26</v>
      </c>
      <c r="B27" s="10">
        <v>2147</v>
      </c>
      <c r="C27" s="11" t="s">
        <v>52</v>
      </c>
      <c r="D27" s="10" t="s">
        <v>28</v>
      </c>
      <c r="E27" s="10" t="s">
        <v>24</v>
      </c>
      <c r="F27" s="11" t="s">
        <v>25</v>
      </c>
      <c r="G27" s="11" t="s">
        <v>26</v>
      </c>
      <c r="H27" s="9">
        <v>5000</v>
      </c>
      <c r="I27" s="12">
        <v>1200</v>
      </c>
      <c r="J27" s="12">
        <v>150</v>
      </c>
      <c r="K27" s="12"/>
      <c r="L27" s="12">
        <v>10067</v>
      </c>
      <c r="M27" s="11">
        <f>L27*4+AI27-AJ27</f>
        <v>40268</v>
      </c>
      <c r="N27" s="13"/>
      <c r="O27" s="12">
        <v>5000</v>
      </c>
      <c r="P27" s="12">
        <v>1200</v>
      </c>
      <c r="Q27" s="11">
        <f>10067+150</f>
        <v>10217</v>
      </c>
      <c r="R27" s="12"/>
      <c r="S27" s="12"/>
      <c r="T27" s="12"/>
      <c r="U27" s="12"/>
      <c r="V27" s="12">
        <v>10067</v>
      </c>
      <c r="W27" s="12"/>
      <c r="X27" s="12"/>
      <c r="Y27" s="12"/>
      <c r="Z27" s="12"/>
      <c r="AA27" s="12"/>
      <c r="AB27" s="12"/>
      <c r="AC27" s="12"/>
      <c r="AD27" s="12"/>
      <c r="AE27" s="12"/>
      <c r="AF27" s="13">
        <f>H27+I27+J27+K27+M27-N27</f>
        <v>46618</v>
      </c>
      <c r="AG27" s="13">
        <f>SUM(O27:AE27)</f>
        <v>26484</v>
      </c>
      <c r="AH27" s="13">
        <f>AF27-AG27</f>
        <v>20134</v>
      </c>
      <c r="AI27" s="12"/>
      <c r="AJ27" s="12"/>
      <c r="AK27" s="12"/>
    </row>
    <row r="28" spans="1:37">
      <c r="A28" s="10">
        <v>27</v>
      </c>
      <c r="B28" s="10">
        <v>2196</v>
      </c>
      <c r="C28" s="11" t="s">
        <v>53</v>
      </c>
      <c r="D28" s="10" t="s">
        <v>23</v>
      </c>
      <c r="E28" s="10" t="s">
        <v>24</v>
      </c>
      <c r="F28" s="11" t="s">
        <v>25</v>
      </c>
      <c r="G28" s="11" t="s">
        <v>26</v>
      </c>
      <c r="H28" s="9">
        <v>5000</v>
      </c>
      <c r="I28" s="12">
        <v>1200</v>
      </c>
      <c r="J28" s="12">
        <v>150</v>
      </c>
      <c r="K28" s="12"/>
      <c r="L28" s="12">
        <v>10067</v>
      </c>
      <c r="M28" s="11">
        <f>L28*4+AI28-AJ28</f>
        <v>40268</v>
      </c>
      <c r="N28" s="13"/>
      <c r="O28" s="12">
        <v>5000</v>
      </c>
      <c r="P28" s="12">
        <v>1200</v>
      </c>
      <c r="Q28" s="11">
        <f>10067+150</f>
        <v>10217</v>
      </c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3">
        <f>H28+I28+J28+K28+M28-N28</f>
        <v>46618</v>
      </c>
      <c r="AG28" s="13">
        <f>SUM(O28:AE28)</f>
        <v>16417</v>
      </c>
      <c r="AH28" s="13">
        <f>AF28-AG28</f>
        <v>30201</v>
      </c>
      <c r="AI28" s="12"/>
      <c r="AJ28" s="12"/>
      <c r="AK28" s="12"/>
    </row>
    <row r="29" spans="1:37">
      <c r="A29" s="10">
        <v>28</v>
      </c>
      <c r="B29" s="10">
        <v>2164</v>
      </c>
      <c r="C29" s="11" t="s">
        <v>54</v>
      </c>
      <c r="D29" s="10" t="s">
        <v>28</v>
      </c>
      <c r="E29" s="10" t="s">
        <v>24</v>
      </c>
      <c r="F29" s="11" t="s">
        <v>25</v>
      </c>
      <c r="G29" s="11" t="s">
        <v>26</v>
      </c>
      <c r="H29" s="9">
        <v>5000</v>
      </c>
      <c r="I29" s="12">
        <v>1200</v>
      </c>
      <c r="J29" s="12">
        <v>150</v>
      </c>
      <c r="K29" s="12"/>
      <c r="L29" s="12">
        <v>10067</v>
      </c>
      <c r="M29" s="11">
        <f>L29*4+AI29-AJ29</f>
        <v>40268</v>
      </c>
      <c r="N29" s="13"/>
      <c r="O29" s="12">
        <v>5000</v>
      </c>
      <c r="P29" s="12">
        <v>1200</v>
      </c>
      <c r="Q29" s="11">
        <f>10067+150</f>
        <v>10217</v>
      </c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3">
        <f>H29+I29+J29+K29+M29-N29</f>
        <v>46618</v>
      </c>
      <c r="AG29" s="13">
        <f>SUM(O29:AE29)</f>
        <v>16417</v>
      </c>
      <c r="AH29" s="13">
        <f>AF29-AG29</f>
        <v>30201</v>
      </c>
      <c r="AI29" s="12"/>
      <c r="AJ29" s="12"/>
      <c r="AK29" s="12"/>
    </row>
    <row r="30" spans="1:37">
      <c r="A30" s="10">
        <v>29</v>
      </c>
      <c r="B30" s="10">
        <v>2144</v>
      </c>
      <c r="C30" s="11" t="s">
        <v>55</v>
      </c>
      <c r="D30" s="10" t="s">
        <v>23</v>
      </c>
      <c r="E30" s="10" t="s">
        <v>24</v>
      </c>
      <c r="F30" s="11" t="s">
        <v>25</v>
      </c>
      <c r="G30" s="11" t="s">
        <v>26</v>
      </c>
      <c r="H30" s="9">
        <v>5000</v>
      </c>
      <c r="I30" s="12">
        <v>1200</v>
      </c>
      <c r="J30" s="12">
        <v>150</v>
      </c>
      <c r="K30" s="12"/>
      <c r="L30" s="12">
        <v>10067</v>
      </c>
      <c r="M30" s="11">
        <f>L30*4+AI30-AJ30</f>
        <v>40268</v>
      </c>
      <c r="N30" s="13"/>
      <c r="O30" s="12">
        <v>5000</v>
      </c>
      <c r="P30" s="12">
        <v>1200</v>
      </c>
      <c r="Q30" s="11">
        <f>10067+150</f>
        <v>10217</v>
      </c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3">
        <f>H30+I30+J30+K30+M30-N30</f>
        <v>46618</v>
      </c>
      <c r="AG30" s="13">
        <f>SUM(O30:AE30)</f>
        <v>16417</v>
      </c>
      <c r="AH30" s="13">
        <f>AF30-AG30</f>
        <v>30201</v>
      </c>
      <c r="AI30" s="12"/>
      <c r="AJ30" s="12"/>
      <c r="AK30" s="12"/>
    </row>
    <row r="31" spans="1:37">
      <c r="A31" s="10">
        <v>30</v>
      </c>
      <c r="B31" s="10">
        <v>2167</v>
      </c>
      <c r="C31" s="11" t="s">
        <v>56</v>
      </c>
      <c r="D31" s="10" t="s">
        <v>28</v>
      </c>
      <c r="E31" s="10" t="s">
        <v>24</v>
      </c>
      <c r="F31" s="11" t="s">
        <v>25</v>
      </c>
      <c r="G31" s="11" t="s">
        <v>26</v>
      </c>
      <c r="H31" s="9">
        <v>5000</v>
      </c>
      <c r="I31" s="12">
        <v>1200</v>
      </c>
      <c r="J31" s="12">
        <v>150</v>
      </c>
      <c r="K31" s="12"/>
      <c r="L31" s="12">
        <v>10067</v>
      </c>
      <c r="M31" s="11">
        <f>L31*4+AI31-AJ31</f>
        <v>40268</v>
      </c>
      <c r="N31" s="13"/>
      <c r="O31" s="12">
        <v>5000</v>
      </c>
      <c r="P31" s="12">
        <v>1200</v>
      </c>
      <c r="Q31" s="11">
        <f>10067+150</f>
        <v>10217</v>
      </c>
      <c r="R31" s="12"/>
      <c r="S31" s="12"/>
      <c r="T31" s="12"/>
      <c r="U31" s="12"/>
      <c r="V31" s="12">
        <v>10067</v>
      </c>
      <c r="W31" s="12"/>
      <c r="X31" s="12"/>
      <c r="Y31" s="12"/>
      <c r="Z31" s="12"/>
      <c r="AA31" s="12"/>
      <c r="AB31" s="12"/>
      <c r="AC31" s="12"/>
      <c r="AD31" s="12"/>
      <c r="AE31" s="12"/>
      <c r="AF31" s="13">
        <f>H31+I31+J31+K31+M31-N31</f>
        <v>46618</v>
      </c>
      <c r="AG31" s="13">
        <f>SUM(O31:AE31)</f>
        <v>26484</v>
      </c>
      <c r="AH31" s="13">
        <f>AF31-AG31</f>
        <v>20134</v>
      </c>
      <c r="AI31" s="12"/>
      <c r="AJ31" s="12"/>
      <c r="AK31" s="12"/>
    </row>
    <row r="32" spans="1:37">
      <c r="A32" s="10">
        <v>31</v>
      </c>
      <c r="B32" s="10">
        <v>2170</v>
      </c>
      <c r="C32" s="11" t="s">
        <v>57</v>
      </c>
      <c r="D32" s="10" t="s">
        <v>23</v>
      </c>
      <c r="E32" s="10" t="s">
        <v>24</v>
      </c>
      <c r="F32" s="11" t="s">
        <v>25</v>
      </c>
      <c r="G32" s="11" t="s">
        <v>26</v>
      </c>
      <c r="H32" s="9">
        <v>5000</v>
      </c>
      <c r="I32" s="12">
        <v>1200</v>
      </c>
      <c r="J32" s="12">
        <v>150</v>
      </c>
      <c r="K32" s="12"/>
      <c r="L32" s="12">
        <v>10067</v>
      </c>
      <c r="M32" s="11">
        <f>L32*4+AI32-AJ32</f>
        <v>40268</v>
      </c>
      <c r="N32" s="13"/>
      <c r="O32" s="12">
        <v>5000</v>
      </c>
      <c r="P32" s="12">
        <v>1200</v>
      </c>
      <c r="Q32" s="11">
        <f>10067+150</f>
        <v>10217</v>
      </c>
      <c r="R32" s="12"/>
      <c r="S32" s="12"/>
      <c r="T32" s="12"/>
      <c r="U32" s="12"/>
      <c r="V32" s="12">
        <v>10067</v>
      </c>
      <c r="W32" s="12"/>
      <c r="X32" s="12"/>
      <c r="Y32" s="12"/>
      <c r="Z32" s="12"/>
      <c r="AA32" s="12"/>
      <c r="AB32" s="12"/>
      <c r="AC32" s="12"/>
      <c r="AD32" s="12"/>
      <c r="AE32" s="12"/>
      <c r="AF32" s="13">
        <f>H32+I32+J32+K32+M32-N32</f>
        <v>46618</v>
      </c>
      <c r="AG32" s="13">
        <f>SUM(O32:AE32)</f>
        <v>26484</v>
      </c>
      <c r="AH32" s="13">
        <f>AF32-AG32</f>
        <v>20134</v>
      </c>
      <c r="AI32" s="12"/>
      <c r="AJ32" s="12"/>
      <c r="AK32" s="12"/>
    </row>
    <row r="33" spans="1:37">
      <c r="A33" s="10">
        <v>32</v>
      </c>
      <c r="B33" s="10">
        <v>2194</v>
      </c>
      <c r="C33" s="11" t="s">
        <v>58</v>
      </c>
      <c r="D33" s="10" t="s">
        <v>23</v>
      </c>
      <c r="E33" s="10" t="s">
        <v>24</v>
      </c>
      <c r="F33" s="11" t="s">
        <v>25</v>
      </c>
      <c r="G33" s="11" t="s">
        <v>26</v>
      </c>
      <c r="H33" s="9">
        <v>5000</v>
      </c>
      <c r="I33" s="12">
        <v>1200</v>
      </c>
      <c r="J33" s="12">
        <v>150</v>
      </c>
      <c r="K33" s="12"/>
      <c r="L33" s="12">
        <v>10067</v>
      </c>
      <c r="M33" s="11">
        <f>L33*4+AI33-AJ33</f>
        <v>40268</v>
      </c>
      <c r="N33" s="13"/>
      <c r="O33" s="12">
        <v>5000</v>
      </c>
      <c r="P33" s="12">
        <v>1200</v>
      </c>
      <c r="Q33" s="11">
        <f>10067+150</f>
        <v>10217</v>
      </c>
      <c r="R33" s="12"/>
      <c r="S33" s="12"/>
      <c r="T33" s="12"/>
      <c r="U33" s="12"/>
      <c r="V33" s="12">
        <v>10067</v>
      </c>
      <c r="W33" s="12"/>
      <c r="X33" s="12"/>
      <c r="Y33" s="12"/>
      <c r="Z33" s="12"/>
      <c r="AA33" s="12"/>
      <c r="AB33" s="12"/>
      <c r="AC33" s="12"/>
      <c r="AD33" s="12"/>
      <c r="AE33" s="12"/>
      <c r="AF33" s="13">
        <f>H33+I33+J33+K33+M33-N33</f>
        <v>46618</v>
      </c>
      <c r="AG33" s="13">
        <f>SUM(O33:AE33)</f>
        <v>26484</v>
      </c>
      <c r="AH33" s="13">
        <f>AF33-AG33</f>
        <v>20134</v>
      </c>
      <c r="AI33" s="12"/>
      <c r="AJ33" s="12"/>
      <c r="AK33" s="12"/>
    </row>
    <row r="34" spans="1:37">
      <c r="A34" s="10">
        <v>33</v>
      </c>
      <c r="B34" s="10">
        <v>2260</v>
      </c>
      <c r="C34" s="11" t="s">
        <v>59</v>
      </c>
      <c r="D34" s="10" t="s">
        <v>23</v>
      </c>
      <c r="E34" s="10" t="s">
        <v>24</v>
      </c>
      <c r="F34" s="11" t="s">
        <v>25</v>
      </c>
      <c r="G34" s="11" t="s">
        <v>26</v>
      </c>
      <c r="H34" s="9">
        <v>5000</v>
      </c>
      <c r="I34" s="12">
        <v>1200</v>
      </c>
      <c r="J34" s="12">
        <v>150</v>
      </c>
      <c r="K34" s="12"/>
      <c r="L34" s="12">
        <v>10067</v>
      </c>
      <c r="M34" s="11">
        <f>L34*4+AI34-AJ34</f>
        <v>40268</v>
      </c>
      <c r="N34" s="13">
        <v>2013</v>
      </c>
      <c r="O34" s="12">
        <v>5000</v>
      </c>
      <c r="P34" s="12">
        <v>1200</v>
      </c>
      <c r="Q34" s="12"/>
      <c r="R34" s="12"/>
      <c r="S34" s="12">
        <v>38405</v>
      </c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3">
        <f>H34+I34+J34+K34+M34-N34</f>
        <v>44605</v>
      </c>
      <c r="AG34" s="13">
        <f>SUM(O34:AE34)</f>
        <v>44605</v>
      </c>
      <c r="AH34" s="13">
        <f>AF34-AG34</f>
        <v>0</v>
      </c>
      <c r="AI34" s="12"/>
      <c r="AJ34" s="12"/>
      <c r="AK34" s="12"/>
    </row>
    <row r="35" spans="1:37">
      <c r="A35" s="10">
        <v>34</v>
      </c>
      <c r="B35" s="10">
        <v>2143</v>
      </c>
      <c r="C35" s="11" t="s">
        <v>60</v>
      </c>
      <c r="D35" s="10" t="s">
        <v>28</v>
      </c>
      <c r="E35" s="10" t="s">
        <v>24</v>
      </c>
      <c r="F35" s="11" t="s">
        <v>25</v>
      </c>
      <c r="G35" s="11" t="s">
        <v>26</v>
      </c>
      <c r="H35" s="9">
        <v>5000</v>
      </c>
      <c r="I35" s="12">
        <v>1200</v>
      </c>
      <c r="J35" s="12">
        <v>150</v>
      </c>
      <c r="K35" s="12"/>
      <c r="L35" s="12">
        <v>10067</v>
      </c>
      <c r="M35" s="11">
        <f>L35*4+AI35-AJ35</f>
        <v>40268</v>
      </c>
      <c r="N35" s="13"/>
      <c r="O35" s="12">
        <v>5000</v>
      </c>
      <c r="P35" s="12">
        <v>1200</v>
      </c>
      <c r="Q35" s="11">
        <f>10067+150</f>
        <v>10217</v>
      </c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3">
        <f>H35+I35+J35+K35+M35-N35</f>
        <v>46618</v>
      </c>
      <c r="AG35" s="13">
        <f>SUM(O35:AE35)</f>
        <v>16417</v>
      </c>
      <c r="AH35" s="13">
        <f>AF35-AG35</f>
        <v>30201</v>
      </c>
      <c r="AI35" s="12"/>
      <c r="AJ35" s="12"/>
      <c r="AK35" s="12"/>
    </row>
    <row r="36" spans="1:37">
      <c r="A36" s="10">
        <v>1</v>
      </c>
      <c r="B36" s="10">
        <v>2150</v>
      </c>
      <c r="C36" s="11" t="s">
        <v>61</v>
      </c>
      <c r="D36" s="10" t="s">
        <v>28</v>
      </c>
      <c r="E36" s="10" t="s">
        <v>24</v>
      </c>
      <c r="F36" s="11" t="s">
        <v>25</v>
      </c>
      <c r="G36" s="11" t="s">
        <v>62</v>
      </c>
      <c r="H36" s="9">
        <v>5000</v>
      </c>
      <c r="I36" s="12">
        <v>1200</v>
      </c>
      <c r="J36" s="12">
        <v>150</v>
      </c>
      <c r="K36" s="12"/>
      <c r="L36" s="12">
        <v>10067</v>
      </c>
      <c r="M36" s="11">
        <f>L36*4+AI36-AJ36</f>
        <v>40268</v>
      </c>
      <c r="N36" s="13"/>
      <c r="O36" s="12">
        <v>5000</v>
      </c>
      <c r="P36" s="12">
        <v>1200</v>
      </c>
      <c r="Q36" s="11">
        <f>10067+150</f>
        <v>10217</v>
      </c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3">
        <f>H36+I36+J36+K36+M36-N36</f>
        <v>46618</v>
      </c>
      <c r="AG36" s="13">
        <f>SUM(O36:AE36)</f>
        <v>16417</v>
      </c>
      <c r="AH36" s="13">
        <f>AF36-AG36</f>
        <v>30201</v>
      </c>
      <c r="AI36" s="12"/>
      <c r="AJ36" s="12"/>
      <c r="AK36" s="12"/>
    </row>
    <row r="37" spans="1:37">
      <c r="A37" s="10">
        <v>2</v>
      </c>
      <c r="B37" s="10">
        <v>2191</v>
      </c>
      <c r="C37" s="11" t="s">
        <v>63</v>
      </c>
      <c r="D37" s="10" t="s">
        <v>28</v>
      </c>
      <c r="E37" s="10" t="s">
        <v>24</v>
      </c>
      <c r="F37" s="11" t="s">
        <v>25</v>
      </c>
      <c r="G37" s="11" t="s">
        <v>62</v>
      </c>
      <c r="H37" s="9">
        <v>5000</v>
      </c>
      <c r="I37" s="12">
        <v>1200</v>
      </c>
      <c r="J37" s="12">
        <v>150</v>
      </c>
      <c r="K37" s="12"/>
      <c r="L37" s="12">
        <v>10067</v>
      </c>
      <c r="M37" s="11">
        <f>L37*4+AI37-AJ37</f>
        <v>40268</v>
      </c>
      <c r="N37" s="13"/>
      <c r="O37" s="12">
        <v>5000</v>
      </c>
      <c r="P37" s="12">
        <v>1200</v>
      </c>
      <c r="Q37" s="11">
        <f>10067+150</f>
        <v>10217</v>
      </c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3">
        <f>H37+I37+J37+K37+M37-N37</f>
        <v>46618</v>
      </c>
      <c r="AG37" s="13">
        <f>SUM(O37:AE37)</f>
        <v>16417</v>
      </c>
      <c r="AH37" s="13">
        <f>AF37-AG37</f>
        <v>30201</v>
      </c>
      <c r="AI37" s="12"/>
      <c r="AJ37" s="12"/>
      <c r="AK37" s="12"/>
    </row>
    <row r="38" spans="1:37">
      <c r="A38" s="10">
        <v>3</v>
      </c>
      <c r="B38" s="10">
        <v>2154</v>
      </c>
      <c r="C38" s="11" t="s">
        <v>64</v>
      </c>
      <c r="D38" s="10" t="s">
        <v>28</v>
      </c>
      <c r="E38" s="10" t="s">
        <v>24</v>
      </c>
      <c r="F38" s="11" t="s">
        <v>25</v>
      </c>
      <c r="G38" s="11" t="s">
        <v>62</v>
      </c>
      <c r="H38" s="9">
        <v>5000</v>
      </c>
      <c r="I38" s="12">
        <v>1200</v>
      </c>
      <c r="J38" s="12">
        <v>150</v>
      </c>
      <c r="K38" s="12"/>
      <c r="L38" s="12">
        <v>10067</v>
      </c>
      <c r="M38" s="11">
        <f>L38*4+AI38-AJ38</f>
        <v>40268</v>
      </c>
      <c r="N38" s="13"/>
      <c r="O38" s="12">
        <v>5000</v>
      </c>
      <c r="P38" s="12">
        <v>1200</v>
      </c>
      <c r="Q38" s="11">
        <f>10067+150</f>
        <v>10217</v>
      </c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3">
        <f>H38+I38+J38+K38+M38-N38</f>
        <v>46618</v>
      </c>
      <c r="AG38" s="13">
        <f>SUM(O38:AE38)</f>
        <v>16417</v>
      </c>
      <c r="AH38" s="13">
        <f>AF38-AG38</f>
        <v>30201</v>
      </c>
      <c r="AI38" s="12"/>
      <c r="AJ38" s="12"/>
      <c r="AK38" s="12"/>
    </row>
    <row r="39" spans="1:37">
      <c r="A39" s="10">
        <v>4</v>
      </c>
      <c r="B39" s="10">
        <v>2211</v>
      </c>
      <c r="C39" s="11" t="s">
        <v>65</v>
      </c>
      <c r="D39" s="10" t="s">
        <v>23</v>
      </c>
      <c r="E39" s="10" t="s">
        <v>24</v>
      </c>
      <c r="F39" s="11" t="s">
        <v>25</v>
      </c>
      <c r="G39" s="11" t="s">
        <v>62</v>
      </c>
      <c r="H39" s="9">
        <v>5000</v>
      </c>
      <c r="I39" s="12">
        <v>1200</v>
      </c>
      <c r="J39" s="12">
        <v>150</v>
      </c>
      <c r="K39" s="12"/>
      <c r="L39" s="12">
        <v>10067</v>
      </c>
      <c r="M39" s="11">
        <f>L39*4+AI39-AJ39</f>
        <v>40268</v>
      </c>
      <c r="N39" s="13"/>
      <c r="O39" s="12">
        <v>5000</v>
      </c>
      <c r="P39" s="12">
        <v>1200</v>
      </c>
      <c r="Q39" s="11">
        <f>10067+150</f>
        <v>10217</v>
      </c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3">
        <f>H39+I39+J39+K39+M39-N39</f>
        <v>46618</v>
      </c>
      <c r="AG39" s="13">
        <f>SUM(O39:AE39)</f>
        <v>16417</v>
      </c>
      <c r="AH39" s="13">
        <f>AF39-AG39</f>
        <v>30201</v>
      </c>
      <c r="AI39" s="12"/>
      <c r="AJ39" s="12"/>
      <c r="AK39" s="12"/>
    </row>
    <row r="40" spans="1:37">
      <c r="A40" s="10">
        <v>5</v>
      </c>
      <c r="B40" s="10">
        <v>2163</v>
      </c>
      <c r="C40" s="11" t="s">
        <v>66</v>
      </c>
      <c r="D40" s="10" t="s">
        <v>28</v>
      </c>
      <c r="E40" s="10" t="s">
        <v>24</v>
      </c>
      <c r="F40" s="11" t="s">
        <v>25</v>
      </c>
      <c r="G40" s="11" t="s">
        <v>62</v>
      </c>
      <c r="H40" s="9">
        <v>5000</v>
      </c>
      <c r="I40" s="12">
        <v>1200</v>
      </c>
      <c r="J40" s="12">
        <v>150</v>
      </c>
      <c r="K40" s="12"/>
      <c r="L40" s="12">
        <v>10067</v>
      </c>
      <c r="M40" s="11">
        <f>L40*4+AI40-AJ40</f>
        <v>40268</v>
      </c>
      <c r="N40" s="13"/>
      <c r="O40" s="12">
        <v>5000</v>
      </c>
      <c r="P40" s="12">
        <v>1200</v>
      </c>
      <c r="Q40" s="11">
        <f>10067+150</f>
        <v>10217</v>
      </c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3">
        <f>H40+I40+J40+K40+M40-N40</f>
        <v>46618</v>
      </c>
      <c r="AG40" s="13">
        <f>SUM(O40:AE40)</f>
        <v>16417</v>
      </c>
      <c r="AH40" s="13">
        <f>AF40-AG40</f>
        <v>30201</v>
      </c>
      <c r="AI40" s="12"/>
      <c r="AJ40" s="12"/>
      <c r="AK40" s="12"/>
    </row>
    <row r="41" spans="1:37">
      <c r="A41" s="10">
        <v>6</v>
      </c>
      <c r="B41" s="10">
        <v>2159</v>
      </c>
      <c r="C41" s="11" t="s">
        <v>67</v>
      </c>
      <c r="D41" s="10" t="s">
        <v>23</v>
      </c>
      <c r="E41" s="10" t="s">
        <v>24</v>
      </c>
      <c r="F41" s="11" t="s">
        <v>25</v>
      </c>
      <c r="G41" s="11" t="s">
        <v>62</v>
      </c>
      <c r="H41" s="9">
        <v>5000</v>
      </c>
      <c r="I41" s="12">
        <v>1200</v>
      </c>
      <c r="J41" s="12">
        <v>150</v>
      </c>
      <c r="K41" s="12"/>
      <c r="L41" s="12">
        <v>10067</v>
      </c>
      <c r="M41" s="11">
        <f>L41*4+AI41-AJ41</f>
        <v>40268</v>
      </c>
      <c r="N41" s="13">
        <v>2013</v>
      </c>
      <c r="O41" s="12">
        <v>5000</v>
      </c>
      <c r="P41" s="12">
        <v>1200</v>
      </c>
      <c r="Q41" s="12">
        <v>38405</v>
      </c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3">
        <f>H41+I41+J41+K41+M41-N41</f>
        <v>44605</v>
      </c>
      <c r="AG41" s="13">
        <f>SUM(O41:AE41)</f>
        <v>44605</v>
      </c>
      <c r="AH41" s="13">
        <f>AF41-AG41</f>
        <v>0</v>
      </c>
      <c r="AI41" s="12"/>
      <c r="AJ41" s="12"/>
      <c r="AK41" s="12"/>
    </row>
    <row r="42" spans="1:37">
      <c r="A42" s="10">
        <v>7</v>
      </c>
      <c r="B42" s="10">
        <v>2148</v>
      </c>
      <c r="C42" s="11" t="s">
        <v>68</v>
      </c>
      <c r="D42" s="10" t="s">
        <v>23</v>
      </c>
      <c r="E42" s="10" t="s">
        <v>24</v>
      </c>
      <c r="F42" s="11" t="s">
        <v>25</v>
      </c>
      <c r="G42" s="11" t="s">
        <v>62</v>
      </c>
      <c r="H42" s="9">
        <v>5000</v>
      </c>
      <c r="I42" s="12">
        <v>1200</v>
      </c>
      <c r="J42" s="12">
        <v>150</v>
      </c>
      <c r="K42" s="12"/>
      <c r="L42" s="12">
        <v>10067</v>
      </c>
      <c r="M42" s="11">
        <f>L42*4+AI42-AJ42</f>
        <v>40268</v>
      </c>
      <c r="N42" s="13">
        <v>2013</v>
      </c>
      <c r="O42" s="12">
        <v>5000</v>
      </c>
      <c r="P42" s="12">
        <v>1200</v>
      </c>
      <c r="Q42" s="12">
        <v>38405</v>
      </c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3">
        <f>H42+I42+J42+K42+M42-N42</f>
        <v>44605</v>
      </c>
      <c r="AG42" s="13">
        <f>SUM(O42:AE42)</f>
        <v>44605</v>
      </c>
      <c r="AH42" s="13">
        <f>AF42-AG42</f>
        <v>0</v>
      </c>
      <c r="AI42" s="12"/>
      <c r="AJ42" s="12"/>
      <c r="AK42" s="12"/>
    </row>
    <row r="43" spans="1:37">
      <c r="A43" s="10">
        <v>8</v>
      </c>
      <c r="B43" s="10">
        <v>2178</v>
      </c>
      <c r="C43" s="11" t="s">
        <v>69</v>
      </c>
      <c r="D43" s="10" t="s">
        <v>28</v>
      </c>
      <c r="E43" s="10" t="s">
        <v>24</v>
      </c>
      <c r="F43" s="11" t="s">
        <v>25</v>
      </c>
      <c r="G43" s="11" t="s">
        <v>62</v>
      </c>
      <c r="H43" s="9">
        <v>5000</v>
      </c>
      <c r="I43" s="12">
        <v>1200</v>
      </c>
      <c r="J43" s="12">
        <v>150</v>
      </c>
      <c r="K43" s="12"/>
      <c r="L43" s="12">
        <v>10067</v>
      </c>
      <c r="M43" s="11">
        <f>L43*4+AI43-AJ43</f>
        <v>40268</v>
      </c>
      <c r="N43" s="13"/>
      <c r="O43" s="12">
        <v>5000</v>
      </c>
      <c r="P43" s="12">
        <v>1200</v>
      </c>
      <c r="Q43" s="11">
        <f>10067+150</f>
        <v>10217</v>
      </c>
      <c r="R43" s="12"/>
      <c r="S43" s="12"/>
      <c r="T43" s="12"/>
      <c r="U43" s="12"/>
      <c r="V43" s="12">
        <v>10067</v>
      </c>
      <c r="W43" s="12"/>
      <c r="X43" s="12"/>
      <c r="Y43" s="12"/>
      <c r="Z43" s="12"/>
      <c r="AA43" s="12"/>
      <c r="AB43" s="12"/>
      <c r="AC43" s="12"/>
      <c r="AD43" s="12"/>
      <c r="AE43" s="12"/>
      <c r="AF43" s="13">
        <f>H43+I43+J43+K43+M43-N43</f>
        <v>46618</v>
      </c>
      <c r="AG43" s="13">
        <f>SUM(O43:AE43)</f>
        <v>26484</v>
      </c>
      <c r="AH43" s="13">
        <f>AF43-AG43</f>
        <v>20134</v>
      </c>
      <c r="AI43" s="12"/>
      <c r="AJ43" s="12"/>
      <c r="AK43" s="12"/>
    </row>
    <row r="44" spans="1:37">
      <c r="A44" s="10">
        <v>9</v>
      </c>
      <c r="B44" s="10">
        <v>2165</v>
      </c>
      <c r="C44" s="11" t="s">
        <v>70</v>
      </c>
      <c r="D44" s="10" t="s">
        <v>23</v>
      </c>
      <c r="E44" s="10" t="s">
        <v>24</v>
      </c>
      <c r="F44" s="11" t="s">
        <v>25</v>
      </c>
      <c r="G44" s="11" t="s">
        <v>62</v>
      </c>
      <c r="H44" s="9">
        <v>5000</v>
      </c>
      <c r="I44" s="12">
        <v>1200</v>
      </c>
      <c r="J44" s="12">
        <v>150</v>
      </c>
      <c r="K44" s="12"/>
      <c r="L44" s="12">
        <v>10067</v>
      </c>
      <c r="M44" s="11">
        <f>L44*4+AI44-AJ44</f>
        <v>40268</v>
      </c>
      <c r="N44" s="13"/>
      <c r="O44" s="12">
        <v>5000</v>
      </c>
      <c r="P44" s="12">
        <v>1200</v>
      </c>
      <c r="Q44" s="11">
        <f>10067+150</f>
        <v>10217</v>
      </c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3">
        <f>H44+I44+J44+K44+M44-N44</f>
        <v>46618</v>
      </c>
      <c r="AG44" s="13">
        <f>SUM(O44:AE44)</f>
        <v>16417</v>
      </c>
      <c r="AH44" s="13">
        <f>AF44-AG44</f>
        <v>30201</v>
      </c>
      <c r="AI44" s="12"/>
      <c r="AJ44" s="12"/>
      <c r="AK44" s="12"/>
    </row>
    <row r="45" spans="1:37">
      <c r="A45" s="10">
        <v>10</v>
      </c>
      <c r="B45" s="10">
        <v>2210</v>
      </c>
      <c r="C45" s="11" t="s">
        <v>71</v>
      </c>
      <c r="D45" s="10" t="s">
        <v>23</v>
      </c>
      <c r="E45" s="10" t="s">
        <v>24</v>
      </c>
      <c r="F45" s="11" t="s">
        <v>25</v>
      </c>
      <c r="G45" s="11" t="s">
        <v>62</v>
      </c>
      <c r="H45" s="9">
        <v>5000</v>
      </c>
      <c r="I45" s="12">
        <v>1200</v>
      </c>
      <c r="J45" s="12">
        <v>150</v>
      </c>
      <c r="K45" s="12"/>
      <c r="L45" s="12">
        <v>10067</v>
      </c>
      <c r="M45" s="11">
        <f>L45*4+AI45-AJ45</f>
        <v>40268</v>
      </c>
      <c r="N45" s="13">
        <v>2013</v>
      </c>
      <c r="O45" s="12">
        <v>5000</v>
      </c>
      <c r="P45" s="12">
        <v>1200</v>
      </c>
      <c r="Q45" s="12"/>
      <c r="R45" s="12">
        <v>38400</v>
      </c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3">
        <f>H45+I45+J45+K45+M45-N45</f>
        <v>44605</v>
      </c>
      <c r="AG45" s="13">
        <f>SUM(O45:AE45)</f>
        <v>44600</v>
      </c>
      <c r="AH45" s="13">
        <f>AF45-AG45</f>
        <v>5</v>
      </c>
      <c r="AI45" s="12"/>
      <c r="AJ45" s="12"/>
      <c r="AK45" s="12"/>
    </row>
    <row r="46" spans="1:37">
      <c r="A46" s="10">
        <v>11</v>
      </c>
      <c r="B46" s="10">
        <v>2174</v>
      </c>
      <c r="C46" s="11" t="s">
        <v>72</v>
      </c>
      <c r="D46" s="10" t="s">
        <v>23</v>
      </c>
      <c r="E46" s="10" t="s">
        <v>24</v>
      </c>
      <c r="F46" s="11" t="s">
        <v>25</v>
      </c>
      <c r="G46" s="11" t="s">
        <v>62</v>
      </c>
      <c r="H46" s="12">
        <v>5000</v>
      </c>
      <c r="I46" s="12">
        <v>1200</v>
      </c>
      <c r="J46" s="12">
        <v>150</v>
      </c>
      <c r="K46" s="12"/>
      <c r="L46" s="12">
        <v>10067</v>
      </c>
      <c r="M46" s="11">
        <f>L46*4+AI46-AJ46</f>
        <v>40268</v>
      </c>
      <c r="N46" s="13">
        <v>2013</v>
      </c>
      <c r="O46" s="12">
        <v>5000</v>
      </c>
      <c r="P46" s="12">
        <v>1200</v>
      </c>
      <c r="Q46" s="12">
        <v>38405</v>
      </c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3">
        <f>H46+I46+J46+K46+M46-N46</f>
        <v>44605</v>
      </c>
      <c r="AG46" s="13">
        <f>SUM(O46:AE46)</f>
        <v>44605</v>
      </c>
      <c r="AH46" s="13">
        <f>AF46-AG46</f>
        <v>0</v>
      </c>
      <c r="AI46" s="12"/>
      <c r="AJ46" s="12"/>
      <c r="AK46" s="12"/>
    </row>
    <row r="47" spans="1:37">
      <c r="A47" s="10">
        <v>12</v>
      </c>
      <c r="B47" s="10">
        <v>2264</v>
      </c>
      <c r="C47" s="11" t="s">
        <v>73</v>
      </c>
      <c r="D47" s="10" t="s">
        <v>23</v>
      </c>
      <c r="E47" s="10" t="s">
        <v>24</v>
      </c>
      <c r="F47" s="11" t="s">
        <v>25</v>
      </c>
      <c r="G47" s="11" t="s">
        <v>62</v>
      </c>
      <c r="H47" s="9">
        <v>5000</v>
      </c>
      <c r="I47" s="12">
        <v>1200</v>
      </c>
      <c r="J47" s="12">
        <v>150</v>
      </c>
      <c r="K47" s="12"/>
      <c r="L47" s="12">
        <v>10067</v>
      </c>
      <c r="M47" s="11">
        <f>L47*4+AI47-AJ47</f>
        <v>40268</v>
      </c>
      <c r="N47" s="13"/>
      <c r="O47" s="12">
        <v>5000</v>
      </c>
      <c r="P47" s="12">
        <v>1200</v>
      </c>
      <c r="Q47" s="12"/>
      <c r="R47" s="12"/>
      <c r="S47" s="12"/>
      <c r="T47" s="12">
        <v>10217</v>
      </c>
      <c r="U47" s="12"/>
      <c r="V47" s="12">
        <v>10067</v>
      </c>
      <c r="W47" s="12"/>
      <c r="X47" s="12"/>
      <c r="Y47" s="12"/>
      <c r="Z47" s="12"/>
      <c r="AA47" s="12"/>
      <c r="AB47" s="12"/>
      <c r="AC47" s="12"/>
      <c r="AD47" s="12"/>
      <c r="AE47" s="12"/>
      <c r="AF47" s="13">
        <f>H47+I47+J47+K47+M47-N47</f>
        <v>46618</v>
      </c>
      <c r="AG47" s="13">
        <f>SUM(O47:AE47)</f>
        <v>26484</v>
      </c>
      <c r="AH47" s="13">
        <f>AF47-AG47</f>
        <v>20134</v>
      </c>
      <c r="AI47" s="12"/>
      <c r="AJ47" s="12"/>
      <c r="AK47" s="12"/>
    </row>
    <row r="48" spans="1:37">
      <c r="A48" s="10">
        <v>13</v>
      </c>
      <c r="B48" s="10">
        <v>2152</v>
      </c>
      <c r="C48" s="11" t="s">
        <v>74</v>
      </c>
      <c r="D48" s="10" t="s">
        <v>28</v>
      </c>
      <c r="E48" s="10" t="s">
        <v>24</v>
      </c>
      <c r="F48" s="11" t="s">
        <v>25</v>
      </c>
      <c r="G48" s="11" t="s">
        <v>62</v>
      </c>
      <c r="H48" s="9">
        <v>5000</v>
      </c>
      <c r="I48" s="12">
        <v>1200</v>
      </c>
      <c r="J48" s="12">
        <v>150</v>
      </c>
      <c r="K48" s="12"/>
      <c r="L48" s="12">
        <v>10067</v>
      </c>
      <c r="M48" s="11">
        <f>L48*4+AI48-AJ48</f>
        <v>40268</v>
      </c>
      <c r="N48" s="13"/>
      <c r="O48" s="12">
        <v>5000</v>
      </c>
      <c r="P48" s="12">
        <v>1200</v>
      </c>
      <c r="Q48" s="11">
        <f>10067+150</f>
        <v>10217</v>
      </c>
      <c r="R48" s="12"/>
      <c r="S48" s="12"/>
      <c r="T48" s="12"/>
      <c r="U48" s="12"/>
      <c r="V48" s="12">
        <v>10067</v>
      </c>
      <c r="W48" s="12"/>
      <c r="X48" s="12"/>
      <c r="Y48" s="12"/>
      <c r="Z48" s="12"/>
      <c r="AA48" s="12"/>
      <c r="AB48" s="12"/>
      <c r="AC48" s="12"/>
      <c r="AD48" s="12"/>
      <c r="AE48" s="12"/>
      <c r="AF48" s="13">
        <f>H48+I48+J48+K48+M48-N48</f>
        <v>46618</v>
      </c>
      <c r="AG48" s="13">
        <f>SUM(O48:AE48)</f>
        <v>26484</v>
      </c>
      <c r="AH48" s="13">
        <f>AF48-AG48</f>
        <v>20134</v>
      </c>
      <c r="AI48" s="12"/>
      <c r="AJ48" s="12"/>
      <c r="AK48" s="12"/>
    </row>
    <row r="49" spans="1:37">
      <c r="A49" s="10">
        <v>14</v>
      </c>
      <c r="B49" s="10">
        <v>2173</v>
      </c>
      <c r="C49" s="11" t="s">
        <v>75</v>
      </c>
      <c r="D49" s="10" t="s">
        <v>23</v>
      </c>
      <c r="E49" s="10" t="s">
        <v>24</v>
      </c>
      <c r="F49" s="11" t="s">
        <v>25</v>
      </c>
      <c r="G49" s="11" t="s">
        <v>62</v>
      </c>
      <c r="H49" s="9">
        <v>5000</v>
      </c>
      <c r="I49" s="12">
        <v>1200</v>
      </c>
      <c r="J49" s="12">
        <v>150</v>
      </c>
      <c r="K49" s="12"/>
      <c r="L49" s="12">
        <v>10067</v>
      </c>
      <c r="M49" s="11">
        <f>L49*4+AI49-AJ49</f>
        <v>40268</v>
      </c>
      <c r="N49" s="13"/>
      <c r="O49" s="12">
        <v>5000</v>
      </c>
      <c r="P49" s="12">
        <v>1200</v>
      </c>
      <c r="Q49" s="11">
        <f>10067+150</f>
        <v>10217</v>
      </c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3">
        <f>H49+I49+J49+K49+M49-N49</f>
        <v>46618</v>
      </c>
      <c r="AG49" s="13">
        <f>SUM(O49:AE49)</f>
        <v>16417</v>
      </c>
      <c r="AH49" s="13">
        <f>AF49-AG49</f>
        <v>30201</v>
      </c>
      <c r="AI49" s="12"/>
      <c r="AJ49" s="12"/>
      <c r="AK49" s="12"/>
    </row>
    <row r="50" spans="1:37">
      <c r="A50" s="10">
        <v>15</v>
      </c>
      <c r="B50" s="10">
        <v>2161</v>
      </c>
      <c r="C50" s="11" t="s">
        <v>76</v>
      </c>
      <c r="D50" s="10" t="s">
        <v>28</v>
      </c>
      <c r="E50" s="10" t="s">
        <v>24</v>
      </c>
      <c r="F50" s="11" t="s">
        <v>25</v>
      </c>
      <c r="G50" s="11" t="s">
        <v>62</v>
      </c>
      <c r="H50" s="9">
        <v>5000</v>
      </c>
      <c r="I50" s="12">
        <v>1200</v>
      </c>
      <c r="J50" s="12">
        <v>150</v>
      </c>
      <c r="K50" s="12"/>
      <c r="L50" s="12">
        <v>10067</v>
      </c>
      <c r="M50" s="11">
        <f>L50*4+AI50-AJ50</f>
        <v>40268</v>
      </c>
      <c r="N50" s="13"/>
      <c r="O50" s="12">
        <v>5000</v>
      </c>
      <c r="P50" s="12">
        <v>1200</v>
      </c>
      <c r="Q50" s="11">
        <f>10067+150</f>
        <v>10217</v>
      </c>
      <c r="R50" s="12"/>
      <c r="S50" s="12"/>
      <c r="T50" s="12"/>
      <c r="U50" s="12"/>
      <c r="V50" s="12">
        <v>10067</v>
      </c>
      <c r="W50" s="12"/>
      <c r="X50" s="12"/>
      <c r="Y50" s="12"/>
      <c r="Z50" s="12"/>
      <c r="AA50" s="12"/>
      <c r="AB50" s="12"/>
      <c r="AC50" s="12"/>
      <c r="AD50" s="12"/>
      <c r="AE50" s="12"/>
      <c r="AF50" s="13">
        <f>H50+I50+J50+K50+M50-N50</f>
        <v>46618</v>
      </c>
      <c r="AG50" s="13">
        <f>SUM(O50:AE50)</f>
        <v>26484</v>
      </c>
      <c r="AH50" s="13">
        <f>AF50-AG50</f>
        <v>20134</v>
      </c>
      <c r="AI50" s="12"/>
      <c r="AJ50" s="12"/>
      <c r="AK50" s="12"/>
    </row>
    <row r="51" spans="1:37">
      <c r="A51" s="10">
        <v>16</v>
      </c>
      <c r="B51" s="10">
        <v>2203</v>
      </c>
      <c r="C51" s="11" t="s">
        <v>77</v>
      </c>
      <c r="D51" s="10" t="s">
        <v>23</v>
      </c>
      <c r="E51" s="10" t="s">
        <v>24</v>
      </c>
      <c r="F51" s="11" t="s">
        <v>25</v>
      </c>
      <c r="G51" s="11" t="s">
        <v>62</v>
      </c>
      <c r="H51" s="9">
        <v>5000</v>
      </c>
      <c r="I51" s="12">
        <v>1200</v>
      </c>
      <c r="J51" s="12">
        <v>150</v>
      </c>
      <c r="K51" s="12"/>
      <c r="L51" s="12">
        <v>10067</v>
      </c>
      <c r="M51" s="11">
        <f>L51*4+AI51-AJ51</f>
        <v>40268</v>
      </c>
      <c r="N51" s="13"/>
      <c r="O51" s="12">
        <v>5000</v>
      </c>
      <c r="P51" s="12">
        <v>1200</v>
      </c>
      <c r="Q51" s="12"/>
      <c r="R51" s="11">
        <f>10067+150</f>
        <v>10217</v>
      </c>
      <c r="S51" s="12"/>
      <c r="T51" s="12"/>
      <c r="U51" s="12"/>
      <c r="V51" s="12">
        <v>10067</v>
      </c>
      <c r="W51" s="12"/>
      <c r="X51" s="12"/>
      <c r="Y51" s="12"/>
      <c r="Z51" s="12"/>
      <c r="AA51" s="12"/>
      <c r="AB51" s="12"/>
      <c r="AC51" s="12"/>
      <c r="AD51" s="12"/>
      <c r="AE51" s="12"/>
      <c r="AF51" s="13">
        <f>H51+I51+J51+K51+M51-N51</f>
        <v>46618</v>
      </c>
      <c r="AG51" s="13">
        <f>SUM(O51:AE51)</f>
        <v>26484</v>
      </c>
      <c r="AH51" s="13">
        <f>AF51-AG51</f>
        <v>20134</v>
      </c>
      <c r="AI51" s="12"/>
      <c r="AJ51" s="12"/>
      <c r="AK51" s="12"/>
    </row>
    <row r="52" spans="1:37">
      <c r="A52" s="10">
        <v>17</v>
      </c>
      <c r="B52" s="10">
        <v>2160</v>
      </c>
      <c r="C52" s="11" t="s">
        <v>78</v>
      </c>
      <c r="D52" s="10" t="s">
        <v>28</v>
      </c>
      <c r="E52" s="10" t="s">
        <v>24</v>
      </c>
      <c r="F52" s="11" t="s">
        <v>25</v>
      </c>
      <c r="G52" s="11" t="s">
        <v>62</v>
      </c>
      <c r="H52" s="9">
        <v>5000</v>
      </c>
      <c r="I52" s="12">
        <v>1200</v>
      </c>
      <c r="J52" s="12">
        <v>150</v>
      </c>
      <c r="K52" s="12"/>
      <c r="L52" s="12">
        <v>10067</v>
      </c>
      <c r="M52" s="11">
        <f>L52*4+AI52-AJ52</f>
        <v>40268</v>
      </c>
      <c r="N52" s="13"/>
      <c r="O52" s="12">
        <v>5000</v>
      </c>
      <c r="P52" s="12">
        <v>1200</v>
      </c>
      <c r="Q52" s="11">
        <f>10067+150</f>
        <v>10217</v>
      </c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3">
        <f>H52+I52+J52+K52+M52-N52</f>
        <v>46618</v>
      </c>
      <c r="AG52" s="13">
        <f>SUM(O52:AE52)</f>
        <v>16417</v>
      </c>
      <c r="AH52" s="13">
        <f>AF52-AG52</f>
        <v>30201</v>
      </c>
      <c r="AI52" s="12"/>
      <c r="AJ52" s="12"/>
      <c r="AK52" s="12"/>
    </row>
    <row r="53" spans="1:37">
      <c r="A53" s="10">
        <v>18</v>
      </c>
      <c r="B53" s="10">
        <v>2197</v>
      </c>
      <c r="C53" s="11" t="s">
        <v>79</v>
      </c>
      <c r="D53" s="10" t="s">
        <v>28</v>
      </c>
      <c r="E53" s="10" t="s">
        <v>24</v>
      </c>
      <c r="F53" s="11" t="s">
        <v>25</v>
      </c>
      <c r="G53" s="11" t="s">
        <v>62</v>
      </c>
      <c r="H53" s="9">
        <v>5000</v>
      </c>
      <c r="I53" s="12">
        <v>1200</v>
      </c>
      <c r="J53" s="12">
        <v>150</v>
      </c>
      <c r="K53" s="12"/>
      <c r="L53" s="12">
        <v>10067</v>
      </c>
      <c r="M53" s="11">
        <f>L53*4+AI53-AJ53</f>
        <v>40268</v>
      </c>
      <c r="N53" s="13"/>
      <c r="O53" s="12">
        <v>5000</v>
      </c>
      <c r="P53" s="12">
        <v>1200</v>
      </c>
      <c r="Q53" s="11">
        <f>10067+150</f>
        <v>10217</v>
      </c>
      <c r="R53" s="12"/>
      <c r="S53" s="12"/>
      <c r="T53" s="12"/>
      <c r="U53" s="12"/>
      <c r="V53" s="12">
        <v>10067</v>
      </c>
      <c r="W53" s="12"/>
      <c r="X53" s="12"/>
      <c r="Y53" s="12"/>
      <c r="Z53" s="12"/>
      <c r="AA53" s="12"/>
      <c r="AB53" s="12"/>
      <c r="AC53" s="12"/>
      <c r="AD53" s="12"/>
      <c r="AE53" s="12"/>
      <c r="AF53" s="13">
        <f>H53+I53+J53+K53+M53-N53</f>
        <v>46618</v>
      </c>
      <c r="AG53" s="13">
        <f>SUM(O53:AE53)</f>
        <v>26484</v>
      </c>
      <c r="AH53" s="13">
        <f>AF53-AG53</f>
        <v>20134</v>
      </c>
      <c r="AI53" s="12"/>
      <c r="AJ53" s="12"/>
      <c r="AK53" s="12"/>
    </row>
    <row r="54" spans="1:37">
      <c r="A54" s="10">
        <v>19</v>
      </c>
      <c r="B54" s="10">
        <v>2146</v>
      </c>
      <c r="C54" s="11" t="s">
        <v>80</v>
      </c>
      <c r="D54" s="10" t="s">
        <v>23</v>
      </c>
      <c r="E54" s="10" t="s">
        <v>24</v>
      </c>
      <c r="F54" s="11" t="s">
        <v>25</v>
      </c>
      <c r="G54" s="11" t="s">
        <v>62</v>
      </c>
      <c r="H54" s="9">
        <v>5000</v>
      </c>
      <c r="I54" s="12">
        <v>1200</v>
      </c>
      <c r="J54" s="12">
        <v>150</v>
      </c>
      <c r="K54" s="12"/>
      <c r="L54" s="12">
        <v>10067</v>
      </c>
      <c r="M54" s="11">
        <f>L54*4+AI54-AJ54</f>
        <v>40268</v>
      </c>
      <c r="N54" s="13"/>
      <c r="O54" s="12">
        <v>5000</v>
      </c>
      <c r="P54" s="12">
        <v>1200</v>
      </c>
      <c r="Q54" s="11">
        <f>10067+150</f>
        <v>10217</v>
      </c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3">
        <f>H54+I54+J54+K54+M54-N54</f>
        <v>46618</v>
      </c>
      <c r="AG54" s="13">
        <f>SUM(O54:AE54)</f>
        <v>16417</v>
      </c>
      <c r="AH54" s="13">
        <f>AF54-AG54</f>
        <v>30201</v>
      </c>
      <c r="AI54" s="12"/>
      <c r="AJ54" s="12"/>
      <c r="AK54" s="12"/>
    </row>
    <row r="55" spans="1:37">
      <c r="A55" s="10">
        <v>20</v>
      </c>
      <c r="B55" s="10">
        <v>2195</v>
      </c>
      <c r="C55" s="11" t="s">
        <v>81</v>
      </c>
      <c r="D55" s="10" t="s">
        <v>28</v>
      </c>
      <c r="E55" s="10" t="s">
        <v>24</v>
      </c>
      <c r="F55" s="11" t="s">
        <v>25</v>
      </c>
      <c r="G55" s="11" t="s">
        <v>62</v>
      </c>
      <c r="H55" s="9">
        <v>5000</v>
      </c>
      <c r="I55" s="12">
        <v>1200</v>
      </c>
      <c r="J55" s="12">
        <v>150</v>
      </c>
      <c r="K55" s="12"/>
      <c r="L55" s="12">
        <v>10067</v>
      </c>
      <c r="M55" s="11">
        <f>L55*4+AI55-AJ55</f>
        <v>40268</v>
      </c>
      <c r="N55" s="13"/>
      <c r="O55" s="12">
        <v>5000</v>
      </c>
      <c r="P55" s="12">
        <v>1200</v>
      </c>
      <c r="Q55" s="11">
        <f>10067+150</f>
        <v>10217</v>
      </c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3">
        <f>H55+I55+J55+K55+M55-N55</f>
        <v>46618</v>
      </c>
      <c r="AG55" s="13">
        <f>SUM(O55:AE55)</f>
        <v>16417</v>
      </c>
      <c r="AH55" s="13">
        <f>AF55-AG55</f>
        <v>30201</v>
      </c>
      <c r="AI55" s="12"/>
      <c r="AJ55" s="12"/>
      <c r="AK55" s="12"/>
    </row>
    <row r="56" spans="1:37">
      <c r="A56" s="10">
        <v>21</v>
      </c>
      <c r="B56" s="10">
        <v>2202</v>
      </c>
      <c r="C56" s="11" t="s">
        <v>82</v>
      </c>
      <c r="D56" s="10" t="s">
        <v>23</v>
      </c>
      <c r="E56" s="10" t="s">
        <v>24</v>
      </c>
      <c r="F56" s="11" t="s">
        <v>25</v>
      </c>
      <c r="G56" s="11" t="s">
        <v>62</v>
      </c>
      <c r="H56" s="9">
        <v>5000</v>
      </c>
      <c r="I56" s="12">
        <v>1200</v>
      </c>
      <c r="J56" s="12">
        <v>150</v>
      </c>
      <c r="K56" s="12"/>
      <c r="L56" s="12">
        <v>10067</v>
      </c>
      <c r="M56" s="11">
        <f>L56*4+AI56-AJ56</f>
        <v>40268</v>
      </c>
      <c r="N56" s="13"/>
      <c r="O56" s="12">
        <v>5000</v>
      </c>
      <c r="P56" s="12">
        <v>1200</v>
      </c>
      <c r="Q56" s="11">
        <f>10067+150</f>
        <v>10217</v>
      </c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3">
        <f>H56+I56+J56+K56+M56-N56</f>
        <v>46618</v>
      </c>
      <c r="AG56" s="13">
        <f>SUM(O56:AE56)</f>
        <v>16417</v>
      </c>
      <c r="AH56" s="13">
        <f>AF56-AG56</f>
        <v>30201</v>
      </c>
      <c r="AI56" s="12"/>
      <c r="AJ56" s="12"/>
      <c r="AK56" s="12"/>
    </row>
    <row r="57" spans="1:37">
      <c r="A57" s="10">
        <v>22</v>
      </c>
      <c r="B57" s="10">
        <v>2153</v>
      </c>
      <c r="C57" s="11" t="s">
        <v>83</v>
      </c>
      <c r="D57" s="10" t="s">
        <v>28</v>
      </c>
      <c r="E57" s="10" t="s">
        <v>24</v>
      </c>
      <c r="F57" s="11" t="s">
        <v>25</v>
      </c>
      <c r="G57" s="11" t="s">
        <v>62</v>
      </c>
      <c r="H57" s="9">
        <v>5000</v>
      </c>
      <c r="I57" s="12">
        <v>1200</v>
      </c>
      <c r="J57" s="12">
        <v>150</v>
      </c>
      <c r="K57" s="12"/>
      <c r="L57" s="12">
        <v>10067</v>
      </c>
      <c r="M57" s="11">
        <f>L57*4+AI57-AJ57</f>
        <v>40268</v>
      </c>
      <c r="N57" s="13"/>
      <c r="O57" s="12">
        <v>5000</v>
      </c>
      <c r="P57" s="12">
        <v>1200</v>
      </c>
      <c r="Q57" s="11">
        <f>10067+150</f>
        <v>10217</v>
      </c>
      <c r="R57" s="12"/>
      <c r="S57" s="12"/>
      <c r="T57" s="12"/>
      <c r="U57" s="12"/>
      <c r="V57" s="12">
        <v>10067</v>
      </c>
      <c r="W57" s="12"/>
      <c r="X57" s="12"/>
      <c r="Y57" s="12"/>
      <c r="Z57" s="12"/>
      <c r="AA57" s="12"/>
      <c r="AB57" s="12"/>
      <c r="AC57" s="12"/>
      <c r="AD57" s="12"/>
      <c r="AE57" s="12"/>
      <c r="AF57" s="13">
        <f>H57+I57+J57+K57+M57-N57</f>
        <v>46618</v>
      </c>
      <c r="AG57" s="13">
        <f>SUM(O57:AE57)</f>
        <v>26484</v>
      </c>
      <c r="AH57" s="13">
        <f>AF57-AG57</f>
        <v>20134</v>
      </c>
      <c r="AI57" s="12"/>
      <c r="AJ57" s="12"/>
      <c r="AK57" s="12"/>
    </row>
    <row r="58" spans="1:37">
      <c r="A58" s="10">
        <v>23</v>
      </c>
      <c r="B58" s="10">
        <v>2193</v>
      </c>
      <c r="C58" s="11" t="s">
        <v>84</v>
      </c>
      <c r="D58" s="10" t="s">
        <v>28</v>
      </c>
      <c r="E58" s="10" t="s">
        <v>24</v>
      </c>
      <c r="F58" s="11" t="s">
        <v>25</v>
      </c>
      <c r="G58" s="11" t="s">
        <v>62</v>
      </c>
      <c r="H58" s="9">
        <v>5000</v>
      </c>
      <c r="I58" s="12">
        <v>1200</v>
      </c>
      <c r="J58" s="12">
        <v>150</v>
      </c>
      <c r="K58" s="12"/>
      <c r="L58" s="12">
        <v>10067</v>
      </c>
      <c r="M58" s="11">
        <f>L58*4+AI58-AJ58</f>
        <v>40268</v>
      </c>
      <c r="N58" s="13"/>
      <c r="O58" s="12">
        <v>5000</v>
      </c>
      <c r="P58" s="12">
        <v>1200</v>
      </c>
      <c r="Q58" s="11">
        <f>10067+150</f>
        <v>10217</v>
      </c>
      <c r="R58" s="12"/>
      <c r="S58" s="12"/>
      <c r="T58" s="12"/>
      <c r="U58" s="12"/>
      <c r="V58" s="12">
        <v>10067</v>
      </c>
      <c r="W58" s="12"/>
      <c r="X58" s="12"/>
      <c r="Y58" s="12"/>
      <c r="Z58" s="12"/>
      <c r="AA58" s="12"/>
      <c r="AB58" s="12"/>
      <c r="AC58" s="12"/>
      <c r="AD58" s="12"/>
      <c r="AE58" s="12"/>
      <c r="AF58" s="13">
        <f>H58+I58+J58+K58+M58-N58</f>
        <v>46618</v>
      </c>
      <c r="AG58" s="13">
        <f>SUM(O58:AE58)</f>
        <v>26484</v>
      </c>
      <c r="AH58" s="13">
        <f>AF58-AG58</f>
        <v>20134</v>
      </c>
      <c r="AI58" s="12"/>
      <c r="AJ58" s="12"/>
      <c r="AK58" s="12"/>
    </row>
    <row r="59" spans="1:37">
      <c r="A59" s="10">
        <v>24</v>
      </c>
      <c r="B59" s="10">
        <v>2209</v>
      </c>
      <c r="C59" s="11" t="s">
        <v>85</v>
      </c>
      <c r="D59" s="10" t="s">
        <v>28</v>
      </c>
      <c r="E59" s="10" t="s">
        <v>24</v>
      </c>
      <c r="F59" s="11" t="s">
        <v>25</v>
      </c>
      <c r="G59" s="11" t="s">
        <v>62</v>
      </c>
      <c r="H59" s="9">
        <v>5000</v>
      </c>
      <c r="I59" s="12">
        <v>1200</v>
      </c>
      <c r="J59" s="12">
        <v>150</v>
      </c>
      <c r="K59" s="12"/>
      <c r="L59" s="12">
        <v>10067</v>
      </c>
      <c r="M59" s="11">
        <f>L59*4+AI59-AJ59</f>
        <v>40268</v>
      </c>
      <c r="N59" s="13">
        <v>2013</v>
      </c>
      <c r="O59" s="12">
        <v>5000</v>
      </c>
      <c r="P59" s="12">
        <v>1200</v>
      </c>
      <c r="Q59" s="12"/>
      <c r="R59" s="12">
        <v>38405</v>
      </c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3">
        <f>H59+I59+J59+K59+M59-N59</f>
        <v>44605</v>
      </c>
      <c r="AG59" s="13">
        <f>SUM(O59:AE59)</f>
        <v>44605</v>
      </c>
      <c r="AH59" s="13">
        <f>AF59-AG59</f>
        <v>0</v>
      </c>
      <c r="AI59" s="12"/>
      <c r="AJ59" s="12"/>
      <c r="AK59" s="12"/>
    </row>
    <row r="60" spans="1:37">
      <c r="A60" s="10">
        <v>25</v>
      </c>
      <c r="B60" s="10">
        <v>2162</v>
      </c>
      <c r="C60" s="11" t="s">
        <v>86</v>
      </c>
      <c r="D60" s="10" t="s">
        <v>23</v>
      </c>
      <c r="E60" s="10" t="s">
        <v>24</v>
      </c>
      <c r="F60" s="11" t="s">
        <v>25</v>
      </c>
      <c r="G60" s="11" t="s">
        <v>62</v>
      </c>
      <c r="H60" s="9">
        <v>5000</v>
      </c>
      <c r="I60" s="12">
        <v>1200</v>
      </c>
      <c r="J60" s="12">
        <v>150</v>
      </c>
      <c r="K60" s="12"/>
      <c r="L60" s="12">
        <v>10067</v>
      </c>
      <c r="M60" s="11">
        <f>L60*4+AI60-AJ60</f>
        <v>40268</v>
      </c>
      <c r="N60" s="13"/>
      <c r="O60" s="12">
        <v>5000</v>
      </c>
      <c r="P60" s="12">
        <v>1200</v>
      </c>
      <c r="Q60" s="11">
        <f>10067+150</f>
        <v>10217</v>
      </c>
      <c r="R60" s="12"/>
      <c r="S60" s="12"/>
      <c r="T60" s="12"/>
      <c r="U60" s="12"/>
      <c r="V60" s="12">
        <v>10067</v>
      </c>
      <c r="W60" s="12"/>
      <c r="X60" s="12"/>
      <c r="Y60" s="12"/>
      <c r="Z60" s="12"/>
      <c r="AA60" s="12"/>
      <c r="AB60" s="12"/>
      <c r="AC60" s="12"/>
      <c r="AD60" s="12"/>
      <c r="AE60" s="12"/>
      <c r="AF60" s="13">
        <f>H60+I60+J60+K60+M60-N60</f>
        <v>46618</v>
      </c>
      <c r="AG60" s="13">
        <f>SUM(O60:AE60)</f>
        <v>26484</v>
      </c>
      <c r="AH60" s="13">
        <f>AF60-AG60</f>
        <v>20134</v>
      </c>
      <c r="AI60" s="12"/>
      <c r="AJ60" s="12"/>
      <c r="AK60" s="12"/>
    </row>
    <row r="61" spans="1:37">
      <c r="A61" s="10">
        <v>26</v>
      </c>
      <c r="B61" s="10">
        <v>2192</v>
      </c>
      <c r="C61" s="11" t="s">
        <v>87</v>
      </c>
      <c r="D61" s="10" t="s">
        <v>23</v>
      </c>
      <c r="E61" s="10" t="s">
        <v>24</v>
      </c>
      <c r="F61" s="11" t="s">
        <v>25</v>
      </c>
      <c r="G61" s="11" t="s">
        <v>62</v>
      </c>
      <c r="H61" s="9">
        <v>5000</v>
      </c>
      <c r="I61" s="12">
        <v>1200</v>
      </c>
      <c r="J61" s="12">
        <v>150</v>
      </c>
      <c r="K61" s="12"/>
      <c r="L61" s="12">
        <v>10067</v>
      </c>
      <c r="M61" s="11">
        <f>L61*4+AI61-AJ61</f>
        <v>40268</v>
      </c>
      <c r="N61" s="13"/>
      <c r="O61" s="12">
        <v>5000</v>
      </c>
      <c r="P61" s="12">
        <v>1200</v>
      </c>
      <c r="Q61" s="11">
        <f>10067+150</f>
        <v>10217</v>
      </c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3">
        <f>H61+I61+J61+K61+M61-N61</f>
        <v>46618</v>
      </c>
      <c r="AG61" s="13">
        <f>SUM(O61:AE61)</f>
        <v>16417</v>
      </c>
      <c r="AH61" s="13">
        <f>AF61-AG61</f>
        <v>30201</v>
      </c>
      <c r="AI61" s="12"/>
      <c r="AJ61" s="12"/>
      <c r="AK61" s="12"/>
    </row>
    <row r="62" spans="1:37">
      <c r="A62" s="10">
        <v>27</v>
      </c>
      <c r="B62" s="10">
        <v>2188</v>
      </c>
      <c r="C62" s="11" t="s">
        <v>88</v>
      </c>
      <c r="D62" s="10" t="s">
        <v>23</v>
      </c>
      <c r="E62" s="10" t="s">
        <v>24</v>
      </c>
      <c r="F62" s="11" t="s">
        <v>25</v>
      </c>
      <c r="G62" s="11" t="s">
        <v>62</v>
      </c>
      <c r="H62" s="9">
        <v>5000</v>
      </c>
      <c r="I62" s="12">
        <v>1200</v>
      </c>
      <c r="J62" s="12">
        <v>150</v>
      </c>
      <c r="K62" s="12"/>
      <c r="L62" s="12">
        <v>10067</v>
      </c>
      <c r="M62" s="11">
        <f>L62*4+AI62-AJ62</f>
        <v>40268</v>
      </c>
      <c r="N62" s="13"/>
      <c r="O62" s="12">
        <v>5000</v>
      </c>
      <c r="P62" s="12">
        <v>1200</v>
      </c>
      <c r="Q62" s="11">
        <f>10067+150</f>
        <v>10217</v>
      </c>
      <c r="R62" s="12"/>
      <c r="S62" s="12"/>
      <c r="T62" s="12"/>
      <c r="U62" s="12"/>
      <c r="V62" s="12">
        <v>10067</v>
      </c>
      <c r="W62" s="12"/>
      <c r="X62" s="12"/>
      <c r="Y62" s="12"/>
      <c r="Z62" s="12"/>
      <c r="AA62" s="12"/>
      <c r="AB62" s="12"/>
      <c r="AC62" s="12"/>
      <c r="AD62" s="12"/>
      <c r="AE62" s="12"/>
      <c r="AF62" s="13">
        <f>H62+I62+J62+K62+M62-N62</f>
        <v>46618</v>
      </c>
      <c r="AG62" s="13">
        <f>SUM(O62:AE62)</f>
        <v>26484</v>
      </c>
      <c r="AH62" s="13">
        <f>AF62-AG62</f>
        <v>20134</v>
      </c>
      <c r="AI62" s="12"/>
      <c r="AJ62" s="12"/>
      <c r="AK62" s="12"/>
    </row>
    <row r="63" spans="1:37">
      <c r="A63" s="10">
        <v>28</v>
      </c>
      <c r="B63" s="10">
        <v>2212</v>
      </c>
      <c r="C63" s="11" t="s">
        <v>89</v>
      </c>
      <c r="D63" s="10" t="s">
        <v>28</v>
      </c>
      <c r="E63" s="10" t="s">
        <v>24</v>
      </c>
      <c r="F63" s="11" t="s">
        <v>25</v>
      </c>
      <c r="G63" s="11" t="s">
        <v>62</v>
      </c>
      <c r="H63" s="9">
        <v>5000</v>
      </c>
      <c r="I63" s="12">
        <v>1200</v>
      </c>
      <c r="J63" s="12">
        <v>150</v>
      </c>
      <c r="K63" s="12"/>
      <c r="L63" s="12">
        <v>10067</v>
      </c>
      <c r="M63" s="11">
        <f>L63*4+AI63-AJ63</f>
        <v>40268</v>
      </c>
      <c r="N63" s="13"/>
      <c r="O63" s="12">
        <v>5000</v>
      </c>
      <c r="P63" s="12">
        <v>1200</v>
      </c>
      <c r="Q63" s="12"/>
      <c r="R63" s="11">
        <f>10067+150</f>
        <v>10217</v>
      </c>
      <c r="S63" s="12"/>
      <c r="T63" s="12"/>
      <c r="U63" s="12"/>
      <c r="V63" s="12">
        <v>10067</v>
      </c>
      <c r="W63" s="12"/>
      <c r="X63" s="12"/>
      <c r="Y63" s="12"/>
      <c r="Z63" s="12"/>
      <c r="AA63" s="12"/>
      <c r="AB63" s="12"/>
      <c r="AC63" s="12"/>
      <c r="AD63" s="12"/>
      <c r="AE63" s="12"/>
      <c r="AF63" s="13">
        <f>H63+I63+J63+K63+M63-N63</f>
        <v>46618</v>
      </c>
      <c r="AG63" s="13">
        <f>SUM(O63:AE63)</f>
        <v>26484</v>
      </c>
      <c r="AH63" s="13">
        <f>AF63-AG63</f>
        <v>20134</v>
      </c>
      <c r="AI63" s="12"/>
      <c r="AJ63" s="12"/>
      <c r="AK63" s="12"/>
    </row>
    <row r="64" spans="1:37">
      <c r="A64" s="10">
        <v>29</v>
      </c>
      <c r="B64" s="10">
        <v>2176</v>
      </c>
      <c r="C64" s="11" t="s">
        <v>90</v>
      </c>
      <c r="D64" s="10" t="s">
        <v>23</v>
      </c>
      <c r="E64" s="10" t="s">
        <v>24</v>
      </c>
      <c r="F64" s="11" t="s">
        <v>25</v>
      </c>
      <c r="G64" s="11" t="s">
        <v>62</v>
      </c>
      <c r="H64" s="9">
        <v>5000</v>
      </c>
      <c r="I64" s="12">
        <v>1200</v>
      </c>
      <c r="J64" s="12">
        <v>150</v>
      </c>
      <c r="K64" s="12"/>
      <c r="L64" s="12">
        <v>10067</v>
      </c>
      <c r="M64" s="11">
        <f>L64*4+AI64-AJ64</f>
        <v>40268</v>
      </c>
      <c r="N64" s="13"/>
      <c r="O64" s="12">
        <v>5000</v>
      </c>
      <c r="P64" s="12">
        <v>1200</v>
      </c>
      <c r="Q64" s="11">
        <f>10067+150</f>
        <v>10217</v>
      </c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3">
        <f>H64+I64+J64+K64+M64-N64</f>
        <v>46618</v>
      </c>
      <c r="AG64" s="13">
        <f>SUM(O64:AE64)</f>
        <v>16417</v>
      </c>
      <c r="AH64" s="13">
        <f>AF64-AG64</f>
        <v>30201</v>
      </c>
      <c r="AI64" s="12"/>
      <c r="AJ64" s="12"/>
      <c r="AK64" s="12"/>
    </row>
    <row r="65" spans="1:37">
      <c r="A65" s="10">
        <v>30</v>
      </c>
      <c r="B65" s="10">
        <v>2181</v>
      </c>
      <c r="C65" s="11" t="s">
        <v>91</v>
      </c>
      <c r="D65" s="10" t="s">
        <v>28</v>
      </c>
      <c r="E65" s="10" t="s">
        <v>24</v>
      </c>
      <c r="F65" s="11" t="s">
        <v>25</v>
      </c>
      <c r="G65" s="11" t="s">
        <v>62</v>
      </c>
      <c r="H65" s="9">
        <v>5000</v>
      </c>
      <c r="I65" s="12">
        <v>1200</v>
      </c>
      <c r="J65" s="12">
        <v>150</v>
      </c>
      <c r="K65" s="12"/>
      <c r="L65" s="12">
        <v>10067</v>
      </c>
      <c r="M65" s="11">
        <f>L65*4+AI65-AJ65</f>
        <v>40268</v>
      </c>
      <c r="N65" s="13"/>
      <c r="O65" s="12">
        <v>5000</v>
      </c>
      <c r="P65" s="12">
        <v>1200</v>
      </c>
      <c r="Q65" s="11">
        <f>10067+150</f>
        <v>10217</v>
      </c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3">
        <f>H65+I65+J65+K65+M65-N65</f>
        <v>46618</v>
      </c>
      <c r="AG65" s="13">
        <f>SUM(O65:AE65)</f>
        <v>16417</v>
      </c>
      <c r="AH65" s="13">
        <f>AF65-AG65</f>
        <v>30201</v>
      </c>
      <c r="AI65" s="12"/>
      <c r="AJ65" s="12"/>
      <c r="AK65" s="12"/>
    </row>
    <row r="66" spans="1:37">
      <c r="A66" s="10">
        <v>31</v>
      </c>
      <c r="B66" s="10">
        <v>2168</v>
      </c>
      <c r="C66" s="11" t="s">
        <v>92</v>
      </c>
      <c r="D66" s="10" t="s">
        <v>23</v>
      </c>
      <c r="E66" s="10" t="s">
        <v>24</v>
      </c>
      <c r="F66" s="11" t="s">
        <v>25</v>
      </c>
      <c r="G66" s="11" t="s">
        <v>62</v>
      </c>
      <c r="H66" s="9">
        <v>5000</v>
      </c>
      <c r="I66" s="12">
        <v>1200</v>
      </c>
      <c r="J66" s="12">
        <v>150</v>
      </c>
      <c r="K66" s="12"/>
      <c r="L66" s="12">
        <v>10067</v>
      </c>
      <c r="M66" s="11">
        <f>L66*4+AI66-AJ66</f>
        <v>40268</v>
      </c>
      <c r="N66" s="13"/>
      <c r="O66" s="12">
        <v>5000</v>
      </c>
      <c r="P66" s="12">
        <v>1200</v>
      </c>
      <c r="Q66" s="11">
        <f>10067+150</f>
        <v>10217</v>
      </c>
      <c r="R66" s="12"/>
      <c r="S66" s="12"/>
      <c r="T66" s="12"/>
      <c r="U66" s="12"/>
      <c r="V66" s="12">
        <v>10067</v>
      </c>
      <c r="W66" s="12"/>
      <c r="X66" s="12"/>
      <c r="Y66" s="12"/>
      <c r="Z66" s="12"/>
      <c r="AA66" s="12"/>
      <c r="AB66" s="12"/>
      <c r="AC66" s="12"/>
      <c r="AD66" s="12"/>
      <c r="AE66" s="12"/>
      <c r="AF66" s="13">
        <f>H66+I66+J66+K66+M66-N66</f>
        <v>46618</v>
      </c>
      <c r="AG66" s="13">
        <f>SUM(O66:AE66)</f>
        <v>26484</v>
      </c>
      <c r="AH66" s="13">
        <f>AF66-AG66</f>
        <v>20134</v>
      </c>
      <c r="AI66" s="12"/>
      <c r="AJ66" s="12"/>
      <c r="AK66" s="12"/>
    </row>
    <row r="67" spans="1:37">
      <c r="A67" s="10">
        <v>32</v>
      </c>
      <c r="B67" s="10">
        <v>2190</v>
      </c>
      <c r="C67" s="11" t="s">
        <v>93</v>
      </c>
      <c r="D67" s="10" t="s">
        <v>28</v>
      </c>
      <c r="E67" s="10" t="s">
        <v>24</v>
      </c>
      <c r="F67" s="11" t="s">
        <v>25</v>
      </c>
      <c r="G67" s="11" t="s">
        <v>62</v>
      </c>
      <c r="H67" s="9">
        <v>5000</v>
      </c>
      <c r="I67" s="12">
        <v>1200</v>
      </c>
      <c r="J67" s="12">
        <v>150</v>
      </c>
      <c r="K67" s="12"/>
      <c r="L67" s="12">
        <v>10067</v>
      </c>
      <c r="M67" s="11">
        <f>L67*4+AI67-AJ67</f>
        <v>40268</v>
      </c>
      <c r="N67" s="13"/>
      <c r="O67" s="12">
        <v>5000</v>
      </c>
      <c r="P67" s="12">
        <v>1200</v>
      </c>
      <c r="Q67" s="11">
        <f>10067+150</f>
        <v>10217</v>
      </c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3">
        <f>H67+I67+J67+K67+M67-N67</f>
        <v>46618</v>
      </c>
      <c r="AG67" s="13">
        <f>SUM(O67:AE67)</f>
        <v>16417</v>
      </c>
      <c r="AH67" s="13">
        <f>AF67-AG67</f>
        <v>30201</v>
      </c>
      <c r="AI67" s="12"/>
      <c r="AJ67" s="12"/>
      <c r="AK67" s="12"/>
    </row>
    <row r="68" spans="1:37">
      <c r="A68" s="10">
        <v>33</v>
      </c>
      <c r="B68" s="10">
        <v>2145</v>
      </c>
      <c r="C68" s="11" t="s">
        <v>94</v>
      </c>
      <c r="D68" s="10" t="s">
        <v>23</v>
      </c>
      <c r="E68" s="10" t="s">
        <v>24</v>
      </c>
      <c r="F68" s="11" t="s">
        <v>25</v>
      </c>
      <c r="G68" s="11" t="s">
        <v>62</v>
      </c>
      <c r="H68" s="9">
        <v>5000</v>
      </c>
      <c r="I68" s="12">
        <v>1200</v>
      </c>
      <c r="J68" s="12">
        <v>150</v>
      </c>
      <c r="K68" s="12"/>
      <c r="L68" s="12">
        <v>10067</v>
      </c>
      <c r="M68" s="11">
        <f>L68*4+AI68-AJ68</f>
        <v>40268</v>
      </c>
      <c r="N68" s="13"/>
      <c r="O68" s="12">
        <v>5000</v>
      </c>
      <c r="P68" s="12">
        <v>1200</v>
      </c>
      <c r="Q68" s="11">
        <f>10067+150</f>
        <v>10217</v>
      </c>
      <c r="R68" s="12"/>
      <c r="S68" s="12"/>
      <c r="T68" s="12"/>
      <c r="U68" s="12"/>
      <c r="V68" s="12">
        <v>10067</v>
      </c>
      <c r="W68" s="12"/>
      <c r="X68" s="12"/>
      <c r="Y68" s="12"/>
      <c r="Z68" s="12"/>
      <c r="AA68" s="12"/>
      <c r="AB68" s="12"/>
      <c r="AC68" s="12"/>
      <c r="AD68" s="12"/>
      <c r="AE68" s="12"/>
      <c r="AF68" s="13">
        <f>H68+I68+J68+K68+M68-N68</f>
        <v>46618</v>
      </c>
      <c r="AG68" s="13">
        <f>SUM(O68:AE68)</f>
        <v>26484</v>
      </c>
      <c r="AH68" s="13">
        <f>AF68-AG68</f>
        <v>20134</v>
      </c>
      <c r="AI68" s="12"/>
      <c r="AJ68" s="12"/>
      <c r="AK68" s="12"/>
    </row>
    <row r="69" spans="1:37">
      <c r="A69" s="10">
        <v>34</v>
      </c>
      <c r="B69" s="10">
        <v>2261</v>
      </c>
      <c r="C69" s="11" t="s">
        <v>95</v>
      </c>
      <c r="D69" s="10" t="s">
        <v>23</v>
      </c>
      <c r="E69" s="10" t="s">
        <v>24</v>
      </c>
      <c r="F69" s="11" t="s">
        <v>25</v>
      </c>
      <c r="G69" s="11" t="s">
        <v>62</v>
      </c>
      <c r="H69" s="12">
        <v>5000</v>
      </c>
      <c r="I69" s="12">
        <v>1200</v>
      </c>
      <c r="J69" s="12">
        <v>150</v>
      </c>
      <c r="K69" s="12"/>
      <c r="L69" s="12">
        <v>10067</v>
      </c>
      <c r="M69" s="11">
        <f>L69*4+AI69-AJ69</f>
        <v>40268</v>
      </c>
      <c r="N69" s="13"/>
      <c r="O69" s="12">
        <v>5000</v>
      </c>
      <c r="P69" s="12">
        <v>1200</v>
      </c>
      <c r="Q69" s="12"/>
      <c r="R69" s="12"/>
      <c r="S69" s="12">
        <v>10217</v>
      </c>
      <c r="T69" s="12"/>
      <c r="U69" s="12"/>
      <c r="V69" s="12">
        <v>10067</v>
      </c>
      <c r="W69" s="12"/>
      <c r="X69" s="12"/>
      <c r="Y69" s="12"/>
      <c r="Z69" s="12"/>
      <c r="AA69" s="12"/>
      <c r="AB69" s="12"/>
      <c r="AC69" s="12"/>
      <c r="AD69" s="12"/>
      <c r="AE69" s="12"/>
      <c r="AF69" s="13">
        <f>H69+I69+J69+K69+M69-N69</f>
        <v>46618</v>
      </c>
      <c r="AG69" s="13">
        <f>SUM(O69:AE69)</f>
        <v>26484</v>
      </c>
      <c r="AH69" s="13">
        <f>AF69-AG69</f>
        <v>20134</v>
      </c>
      <c r="AI69" s="12"/>
      <c r="AJ69" s="12"/>
      <c r="AK69" s="12"/>
    </row>
    <row r="70" spans="1:37">
      <c r="A70" s="10">
        <v>35</v>
      </c>
      <c r="B70" s="10">
        <v>2156</v>
      </c>
      <c r="C70" s="11" t="s">
        <v>96</v>
      </c>
      <c r="D70" s="10" t="s">
        <v>28</v>
      </c>
      <c r="E70" s="10" t="s">
        <v>24</v>
      </c>
      <c r="F70" s="11" t="s">
        <v>25</v>
      </c>
      <c r="G70" s="11" t="s">
        <v>62</v>
      </c>
      <c r="H70" s="9">
        <v>5000</v>
      </c>
      <c r="I70" s="12">
        <v>1200</v>
      </c>
      <c r="J70" s="12">
        <v>150</v>
      </c>
      <c r="K70" s="12"/>
      <c r="L70" s="12">
        <v>10067</v>
      </c>
      <c r="M70" s="11">
        <f>L70*4+AI70-AJ70</f>
        <v>40268</v>
      </c>
      <c r="N70" s="13">
        <v>2013</v>
      </c>
      <c r="O70" s="12">
        <v>5000</v>
      </c>
      <c r="P70" s="12">
        <v>1200</v>
      </c>
      <c r="Q70" s="12">
        <v>38405</v>
      </c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3">
        <f>H70+I70+J70+K70+M70-N70</f>
        <v>44605</v>
      </c>
      <c r="AG70" s="13">
        <f>SUM(O70:AE70)</f>
        <v>44605</v>
      </c>
      <c r="AH70" s="13">
        <f>AF70-AG70</f>
        <v>0</v>
      </c>
      <c r="AI70" s="12"/>
      <c r="AJ70" s="12"/>
      <c r="AK70" s="12"/>
    </row>
    <row r="71" spans="1:37">
      <c r="A71" s="16">
        <v>1</v>
      </c>
      <c r="B71" s="14">
        <v>2230</v>
      </c>
      <c r="C71" s="14" t="s">
        <v>97</v>
      </c>
      <c r="D71" s="14" t="s">
        <v>23</v>
      </c>
      <c r="E71" s="14" t="s">
        <v>24</v>
      </c>
      <c r="F71" s="15" t="s">
        <v>98</v>
      </c>
      <c r="G71" s="15" t="s">
        <v>26</v>
      </c>
      <c r="H71" s="9"/>
      <c r="I71" s="12">
        <v>1200</v>
      </c>
      <c r="J71" s="12">
        <v>0</v>
      </c>
      <c r="K71" s="12"/>
      <c r="L71" s="12">
        <v>0</v>
      </c>
      <c r="M71" s="11">
        <f>L71*4+AI71-AJ71</f>
        <v>0</v>
      </c>
      <c r="N71" s="13"/>
      <c r="O71" s="12">
        <v>0</v>
      </c>
      <c r="P71" s="12">
        <v>1200</v>
      </c>
      <c r="Q71" s="12">
        <v>0</v>
      </c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3">
        <f>H71+I71+J71+K71+M71-N71</f>
        <v>1200</v>
      </c>
      <c r="AG71" s="13">
        <f>SUM(O71:AE71)</f>
        <v>1200</v>
      </c>
      <c r="AH71" s="13">
        <f>AF71-AG71</f>
        <v>0</v>
      </c>
      <c r="AI71" s="12"/>
      <c r="AJ71" s="12"/>
      <c r="AK71" s="12"/>
    </row>
    <row r="72" spans="1:37">
      <c r="A72" s="16">
        <v>2</v>
      </c>
      <c r="B72" s="16">
        <v>1988</v>
      </c>
      <c r="C72" s="16" t="s">
        <v>99</v>
      </c>
      <c r="D72" s="16" t="s">
        <v>28</v>
      </c>
      <c r="E72" s="16"/>
      <c r="F72" s="12" t="s">
        <v>98</v>
      </c>
      <c r="G72" s="12" t="s">
        <v>26</v>
      </c>
      <c r="H72" s="9"/>
      <c r="I72" s="12"/>
      <c r="J72" s="12">
        <v>150</v>
      </c>
      <c r="K72" s="12"/>
      <c r="L72" s="12">
        <v>10067</v>
      </c>
      <c r="M72" s="11">
        <f>L72*4+AI72-AJ72</f>
        <v>40268</v>
      </c>
      <c r="N72" s="13"/>
      <c r="O72" s="12"/>
      <c r="P72" s="12"/>
      <c r="Q72" s="12"/>
      <c r="R72" s="12"/>
      <c r="S72" s="12">
        <v>10217</v>
      </c>
      <c r="T72" s="12"/>
      <c r="U72" s="12"/>
      <c r="V72" s="12">
        <v>10067</v>
      </c>
      <c r="W72" s="12"/>
      <c r="X72" s="12"/>
      <c r="Y72" s="12"/>
      <c r="Z72" s="12"/>
      <c r="AA72" s="12"/>
      <c r="AB72" s="12"/>
      <c r="AC72" s="12"/>
      <c r="AD72" s="12"/>
      <c r="AE72" s="12"/>
      <c r="AF72" s="13">
        <f>H72+I72+J72+K72+M72-N72</f>
        <v>40418</v>
      </c>
      <c r="AG72" s="13">
        <f>SUM(O72:AE72)</f>
        <v>20284</v>
      </c>
      <c r="AH72" s="13">
        <f>AF72-AG72</f>
        <v>20134</v>
      </c>
      <c r="AI72" s="12"/>
      <c r="AJ72" s="12"/>
      <c r="AK72" s="12"/>
    </row>
    <row r="73" spans="1:37">
      <c r="A73" s="16">
        <v>3</v>
      </c>
      <c r="B73" s="14">
        <v>2229</v>
      </c>
      <c r="C73" s="14" t="s">
        <v>100</v>
      </c>
      <c r="D73" s="14" t="s">
        <v>28</v>
      </c>
      <c r="E73" s="14" t="s">
        <v>24</v>
      </c>
      <c r="F73" s="15" t="s">
        <v>98</v>
      </c>
      <c r="G73" s="15" t="s">
        <v>26</v>
      </c>
      <c r="H73" s="9"/>
      <c r="I73" s="12">
        <v>1200</v>
      </c>
      <c r="J73" s="12">
        <v>0</v>
      </c>
      <c r="K73" s="12"/>
      <c r="L73" s="12">
        <v>0</v>
      </c>
      <c r="M73" s="11">
        <f>L73*4+AI73-AJ73</f>
        <v>0</v>
      </c>
      <c r="N73" s="13"/>
      <c r="O73" s="12">
        <v>0</v>
      </c>
      <c r="P73" s="12">
        <v>1200</v>
      </c>
      <c r="Q73" s="12">
        <v>0</v>
      </c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3">
        <f>H73+I73+J73+K73+M73-N73</f>
        <v>1200</v>
      </c>
      <c r="AG73" s="13">
        <f>SUM(O73:AE73)</f>
        <v>1200</v>
      </c>
      <c r="AH73" s="13">
        <f>AF73-AG73</f>
        <v>0</v>
      </c>
      <c r="AI73" s="12"/>
      <c r="AJ73" s="12"/>
      <c r="AK73" s="12"/>
    </row>
    <row r="74" spans="1:37">
      <c r="A74" s="16">
        <v>4</v>
      </c>
      <c r="B74" s="16">
        <v>2008</v>
      </c>
      <c r="C74" s="12" t="s">
        <v>101</v>
      </c>
      <c r="D74" s="16" t="s">
        <v>28</v>
      </c>
      <c r="E74" s="16"/>
      <c r="F74" s="12" t="s">
        <v>98</v>
      </c>
      <c r="G74" s="12" t="s">
        <v>26</v>
      </c>
      <c r="H74" s="9"/>
      <c r="I74" s="12"/>
      <c r="J74" s="12">
        <v>150</v>
      </c>
      <c r="K74" s="12"/>
      <c r="L74" s="12">
        <v>10067</v>
      </c>
      <c r="M74" s="11">
        <f>L74*4+AI74-AJ74</f>
        <v>40268</v>
      </c>
      <c r="N74" s="13"/>
      <c r="O74" s="12"/>
      <c r="P74" s="12"/>
      <c r="Q74" s="12"/>
      <c r="R74" s="12"/>
      <c r="S74" s="12"/>
      <c r="T74" s="12">
        <v>10217</v>
      </c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3">
        <f>H74+I74+J74+K74+M74-N74</f>
        <v>40418</v>
      </c>
      <c r="AG74" s="13">
        <f>SUM(O74:AE74)</f>
        <v>10217</v>
      </c>
      <c r="AH74" s="13">
        <f>AF74-AG74</f>
        <v>30201</v>
      </c>
      <c r="AI74" s="12"/>
      <c r="AJ74" s="12"/>
      <c r="AK74" s="12"/>
    </row>
    <row r="75" spans="1:37">
      <c r="A75" s="16">
        <v>5</v>
      </c>
      <c r="B75" s="16">
        <v>2086</v>
      </c>
      <c r="C75" s="16" t="s">
        <v>102</v>
      </c>
      <c r="D75" s="16" t="s">
        <v>28</v>
      </c>
      <c r="E75" s="16"/>
      <c r="F75" s="12" t="s">
        <v>98</v>
      </c>
      <c r="G75" s="12" t="s">
        <v>26</v>
      </c>
      <c r="H75" s="9"/>
      <c r="I75" s="12"/>
      <c r="J75" s="12">
        <v>150</v>
      </c>
      <c r="K75" s="12"/>
      <c r="L75" s="12">
        <v>10067</v>
      </c>
      <c r="M75" s="11">
        <f>L75*4+AI75-AJ75</f>
        <v>40268</v>
      </c>
      <c r="N75" s="13">
        <v>2013</v>
      </c>
      <c r="O75" s="12"/>
      <c r="P75" s="12"/>
      <c r="Q75" s="12"/>
      <c r="R75" s="12"/>
      <c r="S75" s="12"/>
      <c r="T75" s="12">
        <v>38405</v>
      </c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3">
        <f>H75+I75+J75+K75+M75-N75</f>
        <v>38405</v>
      </c>
      <c r="AG75" s="13">
        <f>SUM(O75:AE75)</f>
        <v>38405</v>
      </c>
      <c r="AH75" s="13">
        <f>AF75-AG75</f>
        <v>0</v>
      </c>
      <c r="AI75" s="12"/>
      <c r="AJ75" s="12"/>
      <c r="AK75" s="12"/>
    </row>
    <row r="76" spans="1:37">
      <c r="A76" s="16">
        <v>6</v>
      </c>
      <c r="B76" s="17">
        <v>2118</v>
      </c>
      <c r="C76" s="17" t="s">
        <v>103</v>
      </c>
      <c r="D76" s="17" t="s">
        <v>23</v>
      </c>
      <c r="E76" s="17"/>
      <c r="F76" s="18" t="s">
        <v>98</v>
      </c>
      <c r="G76" s="18" t="s">
        <v>26</v>
      </c>
      <c r="H76" s="9"/>
      <c r="I76" s="12"/>
      <c r="J76" s="12">
        <v>150</v>
      </c>
      <c r="K76" s="12"/>
      <c r="L76" s="12">
        <v>0</v>
      </c>
      <c r="M76" s="11">
        <f>L76*4+AI76-AJ76</f>
        <v>0</v>
      </c>
      <c r="N76" s="13"/>
      <c r="O76" s="12"/>
      <c r="P76" s="12"/>
      <c r="Q76" s="12"/>
      <c r="R76" s="12"/>
      <c r="S76" s="12"/>
      <c r="T76" s="12">
        <v>150</v>
      </c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3">
        <f>H76+I76+J76+K76+M76-N76</f>
        <v>150</v>
      </c>
      <c r="AG76" s="13">
        <f>SUM(O76:AE76)</f>
        <v>150</v>
      </c>
      <c r="AH76" s="13">
        <f>AF76-AG76</f>
        <v>0</v>
      </c>
      <c r="AI76" s="12"/>
      <c r="AJ76" s="12"/>
      <c r="AK76" s="12"/>
    </row>
    <row r="77" spans="1:37">
      <c r="A77" s="16">
        <v>7</v>
      </c>
      <c r="B77" s="16">
        <v>2015</v>
      </c>
      <c r="C77" s="16" t="s">
        <v>104</v>
      </c>
      <c r="D77" s="16" t="s">
        <v>23</v>
      </c>
      <c r="E77" s="16"/>
      <c r="F77" s="12" t="s">
        <v>98</v>
      </c>
      <c r="G77" s="12" t="s">
        <v>26</v>
      </c>
      <c r="H77" s="9"/>
      <c r="I77" s="12"/>
      <c r="J77" s="12">
        <v>150</v>
      </c>
      <c r="K77" s="12"/>
      <c r="L77" s="12">
        <v>10067</v>
      </c>
      <c r="M77" s="11">
        <f>L77*4+AI77-AJ77</f>
        <v>40268</v>
      </c>
      <c r="N77" s="13">
        <v>2013</v>
      </c>
      <c r="O77" s="12"/>
      <c r="P77" s="12"/>
      <c r="Q77" s="12"/>
      <c r="R77" s="12"/>
      <c r="S77" s="12">
        <v>38405</v>
      </c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3">
        <f>H77+I77+J77+K77+M77-N77</f>
        <v>38405</v>
      </c>
      <c r="AG77" s="13">
        <f>SUM(O77:AE77)</f>
        <v>38405</v>
      </c>
      <c r="AH77" s="13">
        <f>AF77-AG77</f>
        <v>0</v>
      </c>
      <c r="AI77" s="12"/>
      <c r="AJ77" s="12"/>
      <c r="AK77" s="12"/>
    </row>
    <row r="78" spans="1:37">
      <c r="A78" s="16">
        <v>8</v>
      </c>
      <c r="B78" s="17">
        <v>2241</v>
      </c>
      <c r="C78" s="17" t="s">
        <v>105</v>
      </c>
      <c r="D78" s="17" t="s">
        <v>23</v>
      </c>
      <c r="E78" s="17" t="s">
        <v>24</v>
      </c>
      <c r="F78" s="18" t="s">
        <v>98</v>
      </c>
      <c r="G78" s="18" t="s">
        <v>26</v>
      </c>
      <c r="H78" s="9"/>
      <c r="I78" s="12">
        <v>1200</v>
      </c>
      <c r="J78" s="12">
        <v>0</v>
      </c>
      <c r="K78" s="12"/>
      <c r="L78" s="12">
        <v>0</v>
      </c>
      <c r="M78" s="11">
        <f>L78*4+AI78-AJ78</f>
        <v>0</v>
      </c>
      <c r="N78" s="13"/>
      <c r="O78" s="12"/>
      <c r="P78" s="12">
        <v>1200</v>
      </c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3">
        <f>H78+I78+J78+K78+M78-N78</f>
        <v>1200</v>
      </c>
      <c r="AG78" s="13">
        <f>SUM(O78:AE78)</f>
        <v>1200</v>
      </c>
      <c r="AH78" s="13">
        <f>AF78-AG78</f>
        <v>0</v>
      </c>
      <c r="AI78" s="12"/>
      <c r="AJ78" s="12"/>
      <c r="AK78" s="12"/>
    </row>
    <row r="79" spans="1:37">
      <c r="A79" s="16">
        <v>9</v>
      </c>
      <c r="B79" s="19">
        <v>2249</v>
      </c>
      <c r="C79" s="19" t="s">
        <v>106</v>
      </c>
      <c r="D79" s="19" t="s">
        <v>28</v>
      </c>
      <c r="E79" s="19" t="s">
        <v>24</v>
      </c>
      <c r="F79" s="20" t="s">
        <v>98</v>
      </c>
      <c r="G79" s="20" t="s">
        <v>26</v>
      </c>
      <c r="H79" s="9">
        <v>5000</v>
      </c>
      <c r="I79" s="12">
        <v>1200</v>
      </c>
      <c r="J79" s="12">
        <v>150</v>
      </c>
      <c r="K79" s="12"/>
      <c r="L79" s="12">
        <v>10067</v>
      </c>
      <c r="M79" s="11">
        <f>L79*4+AI79-AJ79</f>
        <v>40268</v>
      </c>
      <c r="N79" s="13"/>
      <c r="O79" s="12">
        <v>5000</v>
      </c>
      <c r="P79" s="12">
        <v>1200</v>
      </c>
      <c r="Q79" s="12"/>
      <c r="R79" s="12"/>
      <c r="S79" s="11">
        <f>10067+150</f>
        <v>10217</v>
      </c>
      <c r="T79" s="12"/>
      <c r="U79" s="12"/>
      <c r="V79" s="12">
        <v>10067</v>
      </c>
      <c r="W79" s="12"/>
      <c r="X79" s="12"/>
      <c r="Y79" s="12"/>
      <c r="Z79" s="12"/>
      <c r="AA79" s="12"/>
      <c r="AB79" s="12"/>
      <c r="AC79" s="12"/>
      <c r="AD79" s="12"/>
      <c r="AE79" s="12"/>
      <c r="AF79" s="13">
        <f>H79+I79+J79+K79+M79-N79</f>
        <v>46618</v>
      </c>
      <c r="AG79" s="13">
        <f>SUM(O79:AE79)</f>
        <v>26484</v>
      </c>
      <c r="AH79" s="13">
        <f>AF79-AG79</f>
        <v>20134</v>
      </c>
      <c r="AI79" s="12"/>
      <c r="AJ79" s="12"/>
      <c r="AK79" s="12"/>
    </row>
    <row r="80" spans="1:37">
      <c r="A80" s="16">
        <v>10</v>
      </c>
      <c r="B80" s="17">
        <v>2045</v>
      </c>
      <c r="C80" s="17" t="s">
        <v>107</v>
      </c>
      <c r="D80" s="17" t="s">
        <v>23</v>
      </c>
      <c r="E80" s="17"/>
      <c r="F80" s="18" t="s">
        <v>98</v>
      </c>
      <c r="G80" s="18" t="s">
        <v>26</v>
      </c>
      <c r="H80" s="9"/>
      <c r="I80" s="12"/>
      <c r="J80" s="12">
        <v>150</v>
      </c>
      <c r="K80" s="12"/>
      <c r="L80" s="12">
        <v>0</v>
      </c>
      <c r="M80" s="11">
        <f>L80*4+AI80-AJ80</f>
        <v>0</v>
      </c>
      <c r="N80" s="13"/>
      <c r="O80" s="12"/>
      <c r="P80" s="12"/>
      <c r="Q80" s="12"/>
      <c r="R80" s="12"/>
      <c r="S80" s="12"/>
      <c r="T80" s="12">
        <v>150</v>
      </c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3">
        <f>H80+I80+J80+K80+M80-N80</f>
        <v>150</v>
      </c>
      <c r="AG80" s="13">
        <f>SUM(O80:AE80)</f>
        <v>150</v>
      </c>
      <c r="AH80" s="13">
        <f>AF80-AG80</f>
        <v>0</v>
      </c>
      <c r="AI80" s="12"/>
      <c r="AJ80" s="12"/>
      <c r="AK80" s="12"/>
    </row>
    <row r="81" spans="1:37">
      <c r="A81" s="16">
        <v>11</v>
      </c>
      <c r="B81" s="16">
        <v>2050</v>
      </c>
      <c r="C81" s="12" t="s">
        <v>108</v>
      </c>
      <c r="D81" s="16" t="s">
        <v>28</v>
      </c>
      <c r="E81" s="16"/>
      <c r="F81" s="12" t="s">
        <v>98</v>
      </c>
      <c r="G81" s="12" t="s">
        <v>26</v>
      </c>
      <c r="H81" s="9"/>
      <c r="I81" s="12"/>
      <c r="J81" s="12">
        <v>150</v>
      </c>
      <c r="K81" s="12"/>
      <c r="L81" s="12">
        <v>10067</v>
      </c>
      <c r="M81" s="11">
        <f>L81*4+AI81-AJ81</f>
        <v>40268</v>
      </c>
      <c r="N81" s="13"/>
      <c r="O81" s="12"/>
      <c r="P81" s="12"/>
      <c r="Q81" s="12"/>
      <c r="R81" s="12"/>
      <c r="S81" s="12">
        <v>10217</v>
      </c>
      <c r="T81" s="12"/>
      <c r="U81" s="12"/>
      <c r="V81" s="12">
        <v>10067</v>
      </c>
      <c r="W81" s="12"/>
      <c r="X81" s="12"/>
      <c r="Y81" s="12"/>
      <c r="Z81" s="12"/>
      <c r="AA81" s="12"/>
      <c r="AB81" s="12"/>
      <c r="AC81" s="12"/>
      <c r="AD81" s="12"/>
      <c r="AE81" s="12"/>
      <c r="AF81" s="13">
        <f>H81+I81+J81+K81+M81-N81</f>
        <v>40418</v>
      </c>
      <c r="AG81" s="13">
        <f>SUM(O81:AE81)</f>
        <v>20284</v>
      </c>
      <c r="AH81" s="13">
        <f>AF81-AG81</f>
        <v>20134</v>
      </c>
      <c r="AI81" s="12"/>
      <c r="AJ81" s="12"/>
      <c r="AK81" s="12"/>
    </row>
    <row r="82" spans="1:37">
      <c r="A82" s="16">
        <v>12</v>
      </c>
      <c r="B82" s="16">
        <v>1989</v>
      </c>
      <c r="C82" s="12" t="s">
        <v>109</v>
      </c>
      <c r="D82" s="16" t="s">
        <v>23</v>
      </c>
      <c r="E82" s="16"/>
      <c r="F82" s="12" t="s">
        <v>98</v>
      </c>
      <c r="G82" s="12" t="s">
        <v>26</v>
      </c>
      <c r="H82" s="9"/>
      <c r="I82" s="12"/>
      <c r="J82" s="12">
        <v>150</v>
      </c>
      <c r="K82" s="12"/>
      <c r="L82" s="12">
        <v>10067</v>
      </c>
      <c r="M82" s="11">
        <f>L82*4+AI82-AJ82</f>
        <v>40268</v>
      </c>
      <c r="N82" s="13"/>
      <c r="O82" s="12"/>
      <c r="P82" s="12"/>
      <c r="Q82" s="12"/>
      <c r="R82" s="12"/>
      <c r="S82" s="12">
        <v>10217</v>
      </c>
      <c r="T82" s="12"/>
      <c r="U82" s="12"/>
      <c r="V82" s="12">
        <v>10067</v>
      </c>
      <c r="W82" s="12"/>
      <c r="X82" s="12"/>
      <c r="Y82" s="12"/>
      <c r="Z82" s="12"/>
      <c r="AA82" s="12"/>
      <c r="AB82" s="12"/>
      <c r="AC82" s="12"/>
      <c r="AD82" s="12"/>
      <c r="AE82" s="12"/>
      <c r="AF82" s="13">
        <f>H82+I82+J82+K82+M82-N82</f>
        <v>40418</v>
      </c>
      <c r="AG82" s="13">
        <f>SUM(O82:AE82)</f>
        <v>20284</v>
      </c>
      <c r="AH82" s="13">
        <f>AF82-AG82</f>
        <v>20134</v>
      </c>
      <c r="AI82" s="12"/>
      <c r="AJ82" s="12"/>
      <c r="AK82" s="12"/>
    </row>
    <row r="83" spans="1:37">
      <c r="A83" s="16">
        <v>13</v>
      </c>
      <c r="B83" s="16">
        <v>2048</v>
      </c>
      <c r="C83" s="16" t="s">
        <v>110</v>
      </c>
      <c r="D83" s="16" t="s">
        <v>28</v>
      </c>
      <c r="E83" s="16"/>
      <c r="F83" s="12" t="s">
        <v>98</v>
      </c>
      <c r="G83" s="12" t="s">
        <v>26</v>
      </c>
      <c r="H83" s="9"/>
      <c r="I83" s="12"/>
      <c r="J83" s="12">
        <v>150</v>
      </c>
      <c r="K83" s="12"/>
      <c r="L83" s="12">
        <v>10067</v>
      </c>
      <c r="M83" s="11">
        <f>L83*4+AI83-AJ83</f>
        <v>40268</v>
      </c>
      <c r="N83" s="13">
        <v>2013</v>
      </c>
      <c r="O83" s="12"/>
      <c r="P83" s="12"/>
      <c r="Q83" s="12"/>
      <c r="R83" s="12"/>
      <c r="S83" s="12">
        <v>38405</v>
      </c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3">
        <f>H83+I83+J83+K83+M83-N83</f>
        <v>38405</v>
      </c>
      <c r="AG83" s="13">
        <f>SUM(O83:AE83)</f>
        <v>38405</v>
      </c>
      <c r="AH83" s="13">
        <f>AF83-AG83</f>
        <v>0</v>
      </c>
      <c r="AI83" s="12"/>
      <c r="AJ83" s="12"/>
      <c r="AK83" s="12"/>
    </row>
    <row r="84" spans="1:37">
      <c r="A84" s="16">
        <v>14</v>
      </c>
      <c r="B84" s="16">
        <v>2042</v>
      </c>
      <c r="C84" s="16" t="s">
        <v>111</v>
      </c>
      <c r="D84" s="16" t="s">
        <v>23</v>
      </c>
      <c r="E84" s="16"/>
      <c r="F84" s="12" t="s">
        <v>98</v>
      </c>
      <c r="G84" s="12" t="s">
        <v>26</v>
      </c>
      <c r="H84" s="9"/>
      <c r="I84" s="12"/>
      <c r="J84" s="12">
        <v>150</v>
      </c>
      <c r="K84" s="12"/>
      <c r="L84" s="12">
        <v>10067</v>
      </c>
      <c r="M84" s="11">
        <f>L84*4+AI84-AJ84</f>
        <v>40268</v>
      </c>
      <c r="N84" s="13"/>
      <c r="O84" s="12"/>
      <c r="P84" s="12"/>
      <c r="Q84" s="12"/>
      <c r="R84" s="12"/>
      <c r="S84" s="12">
        <v>10217</v>
      </c>
      <c r="T84" s="12"/>
      <c r="U84" s="12"/>
      <c r="V84" s="12">
        <v>10067</v>
      </c>
      <c r="W84" s="12"/>
      <c r="X84" s="12"/>
      <c r="Y84" s="12"/>
      <c r="Z84" s="12"/>
      <c r="AA84" s="12"/>
      <c r="AB84" s="12"/>
      <c r="AC84" s="12"/>
      <c r="AD84" s="12"/>
      <c r="AE84" s="12"/>
      <c r="AF84" s="13">
        <f>H84+I84+J84+K84+M84-N84</f>
        <v>40418</v>
      </c>
      <c r="AG84" s="13">
        <f>SUM(O84:AE84)</f>
        <v>20284</v>
      </c>
      <c r="AH84" s="13">
        <f>AF84-AG84</f>
        <v>20134</v>
      </c>
      <c r="AI84" s="12"/>
      <c r="AJ84" s="12"/>
      <c r="AK84" s="12"/>
    </row>
    <row r="85" spans="1:37">
      <c r="A85" s="16">
        <v>15</v>
      </c>
      <c r="B85" s="16">
        <v>1994</v>
      </c>
      <c r="C85" s="16" t="s">
        <v>112</v>
      </c>
      <c r="D85" s="16" t="s">
        <v>28</v>
      </c>
      <c r="E85" s="16"/>
      <c r="F85" s="12" t="s">
        <v>98</v>
      </c>
      <c r="G85" s="12" t="s">
        <v>26</v>
      </c>
      <c r="H85" s="9"/>
      <c r="I85" s="12"/>
      <c r="J85" s="12">
        <v>150</v>
      </c>
      <c r="K85" s="12"/>
      <c r="L85" s="12">
        <v>10067</v>
      </c>
      <c r="M85" s="11">
        <f>L85*4+AI85-AJ85</f>
        <v>40268</v>
      </c>
      <c r="N85" s="13">
        <v>2013</v>
      </c>
      <c r="O85" s="12"/>
      <c r="P85" s="12"/>
      <c r="Q85" s="12"/>
      <c r="R85" s="12"/>
      <c r="S85" s="12">
        <v>38405</v>
      </c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3">
        <f>H85+I85+J85+K85+M85-N85</f>
        <v>38405</v>
      </c>
      <c r="AG85" s="13">
        <f>SUM(O85:AE85)</f>
        <v>38405</v>
      </c>
      <c r="AH85" s="13">
        <f>AF85-AG85</f>
        <v>0</v>
      </c>
      <c r="AI85" s="12"/>
      <c r="AJ85" s="12"/>
      <c r="AK85" s="12"/>
    </row>
    <row r="86" spans="1:37">
      <c r="A86" s="16">
        <v>16</v>
      </c>
      <c r="B86" s="17">
        <v>2121</v>
      </c>
      <c r="C86" s="17" t="s">
        <v>113</v>
      </c>
      <c r="D86" s="17" t="s">
        <v>28</v>
      </c>
      <c r="E86" s="17"/>
      <c r="F86" s="18" t="s">
        <v>98</v>
      </c>
      <c r="G86" s="18" t="s">
        <v>26</v>
      </c>
      <c r="H86" s="9"/>
      <c r="I86" s="12"/>
      <c r="J86" s="12">
        <v>150</v>
      </c>
      <c r="K86" s="12"/>
      <c r="L86" s="12">
        <v>0</v>
      </c>
      <c r="M86" s="11">
        <f>L86*4+AI86-AJ86</f>
        <v>0</v>
      </c>
      <c r="N86" s="13"/>
      <c r="O86" s="12"/>
      <c r="P86" s="12"/>
      <c r="Q86" s="12"/>
      <c r="R86" s="12"/>
      <c r="S86" s="12"/>
      <c r="T86" s="12">
        <v>150</v>
      </c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3">
        <f>H86+I86+J86+K86+M86-N86</f>
        <v>150</v>
      </c>
      <c r="AG86" s="13">
        <f>SUM(O86:AE86)</f>
        <v>150</v>
      </c>
      <c r="AH86" s="13">
        <f>AF86-AG86</f>
        <v>0</v>
      </c>
      <c r="AI86" s="12"/>
      <c r="AJ86" s="12"/>
      <c r="AK86" s="12"/>
    </row>
    <row r="87" spans="1:37">
      <c r="A87" s="16">
        <v>17</v>
      </c>
      <c r="B87" s="17">
        <v>2020</v>
      </c>
      <c r="C87" s="18" t="s">
        <v>114</v>
      </c>
      <c r="D87" s="17" t="s">
        <v>28</v>
      </c>
      <c r="E87" s="17"/>
      <c r="F87" s="18" t="s">
        <v>98</v>
      </c>
      <c r="G87" s="18" t="s">
        <v>26</v>
      </c>
      <c r="H87" s="9"/>
      <c r="I87" s="12"/>
      <c r="J87" s="12">
        <v>150</v>
      </c>
      <c r="K87" s="12"/>
      <c r="L87" s="12">
        <v>0</v>
      </c>
      <c r="M87" s="11">
        <f>L87*4+AI87-AJ87</f>
        <v>0</v>
      </c>
      <c r="N87" s="13"/>
      <c r="O87" s="12"/>
      <c r="P87" s="12"/>
      <c r="Q87" s="12"/>
      <c r="R87" s="12"/>
      <c r="S87" s="12"/>
      <c r="T87" s="12">
        <v>150</v>
      </c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3">
        <f>H87+I87+J87+K87+M87-N87</f>
        <v>150</v>
      </c>
      <c r="AG87" s="13">
        <f>SUM(O87:AE87)</f>
        <v>150</v>
      </c>
      <c r="AH87" s="13">
        <f>AF87-AG87</f>
        <v>0</v>
      </c>
      <c r="AI87" s="12"/>
      <c r="AJ87" s="12"/>
      <c r="AK87" s="12"/>
    </row>
    <row r="88" spans="1:37">
      <c r="A88" s="16">
        <v>18</v>
      </c>
      <c r="B88" s="16">
        <v>2038</v>
      </c>
      <c r="C88" s="12" t="s">
        <v>115</v>
      </c>
      <c r="D88" s="16" t="s">
        <v>28</v>
      </c>
      <c r="E88" s="16"/>
      <c r="F88" s="12" t="s">
        <v>98</v>
      </c>
      <c r="G88" s="12" t="s">
        <v>26</v>
      </c>
      <c r="H88" s="9"/>
      <c r="I88" s="12"/>
      <c r="J88" s="12">
        <v>150</v>
      </c>
      <c r="K88" s="12"/>
      <c r="L88" s="12">
        <v>10067</v>
      </c>
      <c r="M88" s="11">
        <f>L88*4+AI88-AJ88</f>
        <v>40268</v>
      </c>
      <c r="N88" s="13"/>
      <c r="O88" s="12"/>
      <c r="P88" s="12"/>
      <c r="Q88" s="12"/>
      <c r="R88" s="12"/>
      <c r="S88" s="12">
        <v>10017</v>
      </c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3">
        <f>H88+I88+J88+K88+M88-N88</f>
        <v>40418</v>
      </c>
      <c r="AG88" s="13">
        <f>SUM(O88:AE88)</f>
        <v>10017</v>
      </c>
      <c r="AH88" s="13">
        <f>AF88-AG88</f>
        <v>30401</v>
      </c>
      <c r="AI88" s="12"/>
      <c r="AJ88" s="12"/>
      <c r="AK88" s="12"/>
    </row>
    <row r="89" spans="1:37">
      <c r="A89" s="16">
        <v>19</v>
      </c>
      <c r="B89" s="16">
        <v>2021</v>
      </c>
      <c r="C89" s="12" t="s">
        <v>116</v>
      </c>
      <c r="D89" s="16" t="s">
        <v>23</v>
      </c>
      <c r="E89" s="16"/>
      <c r="F89" s="12" t="s">
        <v>98</v>
      </c>
      <c r="G89" s="12" t="s">
        <v>26</v>
      </c>
      <c r="H89" s="9"/>
      <c r="I89" s="12"/>
      <c r="J89" s="12">
        <v>150</v>
      </c>
      <c r="K89" s="12"/>
      <c r="L89" s="12">
        <v>10067</v>
      </c>
      <c r="M89" s="11">
        <f>L89*4+AI89-AJ89</f>
        <v>40268</v>
      </c>
      <c r="N89" s="13"/>
      <c r="O89" s="12"/>
      <c r="P89" s="12"/>
      <c r="Q89" s="12"/>
      <c r="R89" s="12"/>
      <c r="S89" s="12"/>
      <c r="T89" s="12">
        <v>10217</v>
      </c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3">
        <f>H89+I89+J89+K89+M89-N89</f>
        <v>40418</v>
      </c>
      <c r="AG89" s="13">
        <f>SUM(O89:AE89)</f>
        <v>10217</v>
      </c>
      <c r="AH89" s="13">
        <f>AF89-AG89</f>
        <v>30201</v>
      </c>
      <c r="AI89" s="12"/>
      <c r="AJ89" s="12"/>
      <c r="AK89" s="12"/>
    </row>
    <row r="90" spans="1:37">
      <c r="A90" s="16">
        <v>20</v>
      </c>
      <c r="B90" s="16">
        <v>2027</v>
      </c>
      <c r="C90" s="12" t="s">
        <v>117</v>
      </c>
      <c r="D90" s="16" t="s">
        <v>23</v>
      </c>
      <c r="E90" s="16"/>
      <c r="F90" s="12" t="s">
        <v>98</v>
      </c>
      <c r="G90" s="12" t="s">
        <v>26</v>
      </c>
      <c r="H90" s="9"/>
      <c r="I90" s="12"/>
      <c r="J90" s="12">
        <v>150</v>
      </c>
      <c r="K90" s="12"/>
      <c r="L90" s="12">
        <v>10067</v>
      </c>
      <c r="M90" s="11">
        <f>L90*4+AI90-AJ90</f>
        <v>40268</v>
      </c>
      <c r="N90" s="13"/>
      <c r="O90" s="12"/>
      <c r="P90" s="12"/>
      <c r="Q90" s="12"/>
      <c r="R90" s="12"/>
      <c r="S90" s="12"/>
      <c r="T90" s="12">
        <v>10212</v>
      </c>
      <c r="U90" s="12"/>
      <c r="V90" s="12">
        <v>10067</v>
      </c>
      <c r="W90" s="12"/>
      <c r="X90" s="12"/>
      <c r="Y90" s="12"/>
      <c r="Z90" s="12"/>
      <c r="AA90" s="12"/>
      <c r="AB90" s="12"/>
      <c r="AC90" s="12"/>
      <c r="AD90" s="12"/>
      <c r="AE90" s="12"/>
      <c r="AF90" s="13">
        <f>H90+I90+J90+K90+M90-N90</f>
        <v>40418</v>
      </c>
      <c r="AG90" s="13">
        <f>SUM(O90:AE90)</f>
        <v>20279</v>
      </c>
      <c r="AH90" s="13">
        <f>AF90-AG90</f>
        <v>20139</v>
      </c>
      <c r="AI90" s="12"/>
      <c r="AJ90" s="12"/>
      <c r="AK90" s="12"/>
    </row>
    <row r="91" spans="1:37">
      <c r="A91" s="16">
        <v>21</v>
      </c>
      <c r="B91" s="17">
        <v>2062</v>
      </c>
      <c r="C91" s="17" t="s">
        <v>118</v>
      </c>
      <c r="D91" s="17" t="s">
        <v>28</v>
      </c>
      <c r="E91" s="17"/>
      <c r="F91" s="18" t="s">
        <v>98</v>
      </c>
      <c r="G91" s="18" t="s">
        <v>26</v>
      </c>
      <c r="H91" s="9"/>
      <c r="I91" s="12"/>
      <c r="J91" s="12">
        <v>150</v>
      </c>
      <c r="K91" s="12"/>
      <c r="L91" s="12">
        <v>0</v>
      </c>
      <c r="M91" s="11">
        <f>L91*4+AI91-AJ91</f>
        <v>0</v>
      </c>
      <c r="N91" s="13"/>
      <c r="O91" s="12"/>
      <c r="P91" s="12"/>
      <c r="Q91" s="12"/>
      <c r="R91" s="12"/>
      <c r="S91" s="12"/>
      <c r="T91" s="12">
        <v>150</v>
      </c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3">
        <f>H91+I91+J91+K91+M91-N91</f>
        <v>150</v>
      </c>
      <c r="AG91" s="13">
        <f>SUM(O91:AE91)</f>
        <v>150</v>
      </c>
      <c r="AH91" s="13">
        <f>AF91-AG91</f>
        <v>0</v>
      </c>
      <c r="AI91" s="12"/>
      <c r="AJ91" s="12"/>
      <c r="AK91" s="12"/>
    </row>
    <row r="92" spans="1:37">
      <c r="A92" s="16">
        <v>22</v>
      </c>
      <c r="B92" s="16">
        <v>2003</v>
      </c>
      <c r="C92" s="16" t="s">
        <v>119</v>
      </c>
      <c r="D92" s="16" t="s">
        <v>28</v>
      </c>
      <c r="E92" s="16"/>
      <c r="F92" s="12" t="s">
        <v>98</v>
      </c>
      <c r="G92" s="12" t="s">
        <v>26</v>
      </c>
      <c r="H92" s="9"/>
      <c r="I92" s="12"/>
      <c r="J92" s="12">
        <v>150</v>
      </c>
      <c r="K92" s="12"/>
      <c r="L92" s="12">
        <v>10067</v>
      </c>
      <c r="M92" s="11">
        <f>L92*4+AI92-AJ92</f>
        <v>40268</v>
      </c>
      <c r="N92" s="13"/>
      <c r="O92" s="12"/>
      <c r="P92" s="12"/>
      <c r="Q92" s="12"/>
      <c r="R92" s="12"/>
      <c r="S92" s="12"/>
      <c r="T92" s="12"/>
      <c r="U92" s="12"/>
      <c r="V92" s="12">
        <v>10217</v>
      </c>
      <c r="W92" s="12"/>
      <c r="X92" s="12"/>
      <c r="Y92" s="12"/>
      <c r="Z92" s="12"/>
      <c r="AA92" s="12"/>
      <c r="AB92" s="12"/>
      <c r="AC92" s="12"/>
      <c r="AD92" s="12"/>
      <c r="AE92" s="12"/>
      <c r="AF92" s="13">
        <f>H92+I92+J92+K92+M92-N92</f>
        <v>40418</v>
      </c>
      <c r="AG92" s="13">
        <f>SUM(O92:AE92)</f>
        <v>10217</v>
      </c>
      <c r="AH92" s="13">
        <f>AF92-AG92</f>
        <v>30201</v>
      </c>
      <c r="AI92" s="12"/>
      <c r="AJ92" s="12"/>
      <c r="AK92" s="12"/>
    </row>
    <row r="93" spans="1:37">
      <c r="A93" s="16">
        <v>23</v>
      </c>
      <c r="B93" s="16">
        <v>2007</v>
      </c>
      <c r="C93" s="16" t="s">
        <v>120</v>
      </c>
      <c r="D93" s="16" t="s">
        <v>23</v>
      </c>
      <c r="E93" s="16"/>
      <c r="F93" s="12" t="s">
        <v>98</v>
      </c>
      <c r="G93" s="12" t="s">
        <v>26</v>
      </c>
      <c r="H93" s="9"/>
      <c r="I93" s="12"/>
      <c r="J93" s="12">
        <v>150</v>
      </c>
      <c r="K93" s="12"/>
      <c r="L93" s="12">
        <v>10067</v>
      </c>
      <c r="M93" s="11">
        <f>L93*4+AI93-AJ93</f>
        <v>40268</v>
      </c>
      <c r="N93" s="13"/>
      <c r="O93" s="12"/>
      <c r="P93" s="12"/>
      <c r="Q93" s="12"/>
      <c r="R93" s="12"/>
      <c r="S93" s="12">
        <v>10217</v>
      </c>
      <c r="T93" s="12"/>
      <c r="U93" s="12"/>
      <c r="V93" s="12">
        <v>10067</v>
      </c>
      <c r="W93" s="12"/>
      <c r="X93" s="12"/>
      <c r="Y93" s="12"/>
      <c r="Z93" s="12"/>
      <c r="AA93" s="12"/>
      <c r="AB93" s="12"/>
      <c r="AC93" s="12"/>
      <c r="AD93" s="12"/>
      <c r="AE93" s="12"/>
      <c r="AF93" s="13">
        <f>H93+I93+J93+K93+M93-N93</f>
        <v>40418</v>
      </c>
      <c r="AG93" s="13">
        <f>SUM(O93:AE93)</f>
        <v>20284</v>
      </c>
      <c r="AH93" s="13">
        <f>AF93-AG93</f>
        <v>20134</v>
      </c>
      <c r="AI93" s="12"/>
      <c r="AJ93" s="12"/>
      <c r="AK93" s="12"/>
    </row>
    <row r="94" spans="1:37">
      <c r="A94" s="16">
        <v>24</v>
      </c>
      <c r="B94" s="16">
        <v>2043</v>
      </c>
      <c r="C94" s="16" t="s">
        <v>121</v>
      </c>
      <c r="D94" s="16" t="s">
        <v>28</v>
      </c>
      <c r="E94" s="16"/>
      <c r="F94" s="12" t="s">
        <v>98</v>
      </c>
      <c r="G94" s="12" t="s">
        <v>26</v>
      </c>
      <c r="H94" s="9"/>
      <c r="I94" s="12"/>
      <c r="J94" s="12">
        <v>150</v>
      </c>
      <c r="K94" s="12"/>
      <c r="L94" s="12">
        <v>10067</v>
      </c>
      <c r="M94" s="11">
        <f>L94*4+AI94-AJ94</f>
        <v>40268</v>
      </c>
      <c r="N94" s="13"/>
      <c r="O94" s="12"/>
      <c r="P94" s="12"/>
      <c r="Q94" s="12"/>
      <c r="R94" s="12"/>
      <c r="S94" s="12"/>
      <c r="T94" s="12">
        <v>10217</v>
      </c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3">
        <f>H94+I94+J94+K94+M94-N94</f>
        <v>40418</v>
      </c>
      <c r="AG94" s="13">
        <f>SUM(O94:AE94)</f>
        <v>10217</v>
      </c>
      <c r="AH94" s="13">
        <f>AF94-AG94</f>
        <v>30201</v>
      </c>
      <c r="AI94" s="12"/>
      <c r="AJ94" s="12"/>
      <c r="AK94" s="12"/>
    </row>
    <row r="95" spans="1:37">
      <c r="A95" s="16">
        <v>25</v>
      </c>
      <c r="B95" s="16">
        <v>1992</v>
      </c>
      <c r="C95" s="16" t="s">
        <v>122</v>
      </c>
      <c r="D95" s="16" t="s">
        <v>23</v>
      </c>
      <c r="E95" s="16"/>
      <c r="F95" s="12" t="s">
        <v>98</v>
      </c>
      <c r="G95" s="12" t="s">
        <v>26</v>
      </c>
      <c r="H95" s="9"/>
      <c r="I95" s="12"/>
      <c r="J95" s="12">
        <v>150</v>
      </c>
      <c r="K95" s="12"/>
      <c r="L95" s="12">
        <v>10067</v>
      </c>
      <c r="M95" s="11">
        <f>L95*4+AI95-AJ95</f>
        <v>40268</v>
      </c>
      <c r="N95" s="13">
        <v>2013</v>
      </c>
      <c r="O95" s="12"/>
      <c r="P95" s="12"/>
      <c r="Q95" s="12"/>
      <c r="R95" s="12"/>
      <c r="S95" s="12">
        <v>38405</v>
      </c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3">
        <f>H95+I95+J95+K95+M95-N95</f>
        <v>38405</v>
      </c>
      <c r="AG95" s="13">
        <f>SUM(O95:AE95)</f>
        <v>38405</v>
      </c>
      <c r="AH95" s="13">
        <f>AF95-AG95</f>
        <v>0</v>
      </c>
      <c r="AI95" s="12"/>
      <c r="AJ95" s="12"/>
      <c r="AK95" s="12"/>
    </row>
    <row r="96" spans="1:37">
      <c r="A96" s="16">
        <v>26</v>
      </c>
      <c r="B96" s="17">
        <v>2252</v>
      </c>
      <c r="C96" s="17" t="s">
        <v>123</v>
      </c>
      <c r="D96" s="17" t="s">
        <v>23</v>
      </c>
      <c r="E96" s="17" t="s">
        <v>24</v>
      </c>
      <c r="F96" s="18" t="s">
        <v>98</v>
      </c>
      <c r="G96" s="18" t="s">
        <v>26</v>
      </c>
      <c r="H96" s="9"/>
      <c r="I96" s="12">
        <v>1200</v>
      </c>
      <c r="J96" s="12">
        <v>0</v>
      </c>
      <c r="K96" s="12"/>
      <c r="L96" s="12">
        <v>0</v>
      </c>
      <c r="M96" s="12">
        <v>0</v>
      </c>
      <c r="N96" s="13"/>
      <c r="O96" s="12"/>
      <c r="P96" s="12">
        <v>1200</v>
      </c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3">
        <f>H96+I96+J96+K96+M96-N96</f>
        <v>1200</v>
      </c>
      <c r="AG96" s="13">
        <f>SUM(O96:AE96)</f>
        <v>1200</v>
      </c>
      <c r="AH96" s="13">
        <f>AF96-AG96</f>
        <v>0</v>
      </c>
      <c r="AI96" s="12"/>
      <c r="AJ96" s="12"/>
      <c r="AK96" s="12"/>
    </row>
    <row r="97" spans="1:37">
      <c r="A97" s="16">
        <v>27</v>
      </c>
      <c r="B97" s="14">
        <v>2233</v>
      </c>
      <c r="C97" s="14" t="s">
        <v>124</v>
      </c>
      <c r="D97" s="14" t="s">
        <v>23</v>
      </c>
      <c r="E97" s="14" t="s">
        <v>24</v>
      </c>
      <c r="F97" s="15" t="s">
        <v>98</v>
      </c>
      <c r="G97" s="15" t="s">
        <v>26</v>
      </c>
      <c r="H97" s="9"/>
      <c r="I97" s="12">
        <v>1200</v>
      </c>
      <c r="J97" s="12">
        <v>0</v>
      </c>
      <c r="K97" s="12"/>
      <c r="L97" s="12">
        <v>0</v>
      </c>
      <c r="M97" s="11">
        <f>L97*4+AI97-AJ97</f>
        <v>0</v>
      </c>
      <c r="N97" s="13"/>
      <c r="O97" s="12"/>
      <c r="P97" s="12">
        <v>1200</v>
      </c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3">
        <f>H97+I97+J97+K97+M97-N97</f>
        <v>1200</v>
      </c>
      <c r="AG97" s="13">
        <f>SUM(O97:AE97)</f>
        <v>1200</v>
      </c>
      <c r="AH97" s="13">
        <f>AF97-AG97</f>
        <v>0</v>
      </c>
      <c r="AI97" s="12"/>
      <c r="AJ97" s="12"/>
      <c r="AK97" s="12"/>
    </row>
    <row r="98" spans="1:37">
      <c r="A98" s="16">
        <v>28</v>
      </c>
      <c r="B98" s="14">
        <v>2235</v>
      </c>
      <c r="C98" s="14" t="s">
        <v>125</v>
      </c>
      <c r="D98" s="14" t="s">
        <v>23</v>
      </c>
      <c r="E98" s="14" t="s">
        <v>24</v>
      </c>
      <c r="F98" s="15" t="s">
        <v>98</v>
      </c>
      <c r="G98" s="15" t="s">
        <v>26</v>
      </c>
      <c r="H98" s="9"/>
      <c r="I98" s="12">
        <v>1200</v>
      </c>
      <c r="J98" s="12">
        <v>0</v>
      </c>
      <c r="K98" s="12"/>
      <c r="L98" s="12">
        <v>0</v>
      </c>
      <c r="M98" s="11">
        <f>L98*4+AI98-AJ98</f>
        <v>0</v>
      </c>
      <c r="N98" s="13"/>
      <c r="O98" s="12"/>
      <c r="P98" s="12">
        <v>1200</v>
      </c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3">
        <f>H98+I98+J98+K98+M98-N98</f>
        <v>1200</v>
      </c>
      <c r="AG98" s="13">
        <f>SUM(O98:AE98)</f>
        <v>1200</v>
      </c>
      <c r="AH98" s="13">
        <f>AF98-AG98</f>
        <v>0</v>
      </c>
      <c r="AI98" s="12"/>
      <c r="AJ98" s="12"/>
      <c r="AK98" s="12"/>
    </row>
    <row r="99" spans="1:37">
      <c r="A99" s="16">
        <v>29</v>
      </c>
      <c r="B99" s="21">
        <v>2033</v>
      </c>
      <c r="C99" s="21" t="s">
        <v>126</v>
      </c>
      <c r="D99" s="21" t="s">
        <v>28</v>
      </c>
      <c r="E99" s="21" t="s">
        <v>24</v>
      </c>
      <c r="F99" s="22" t="s">
        <v>98</v>
      </c>
      <c r="G99" s="22" t="s">
        <v>26</v>
      </c>
      <c r="H99" s="9">
        <v>5000</v>
      </c>
      <c r="I99" s="12">
        <v>1200</v>
      </c>
      <c r="J99" s="12">
        <v>150</v>
      </c>
      <c r="K99" s="12"/>
      <c r="L99" s="12">
        <v>10067</v>
      </c>
      <c r="M99" s="11">
        <f>L99*4+AI99-AJ99</f>
        <v>40268</v>
      </c>
      <c r="N99" s="13"/>
      <c r="O99" s="12">
        <v>5000</v>
      </c>
      <c r="P99" s="12">
        <v>1200</v>
      </c>
      <c r="Q99" s="12"/>
      <c r="R99" s="12"/>
      <c r="S99" s="12"/>
      <c r="T99" s="12"/>
      <c r="U99" s="12">
        <v>10217</v>
      </c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3">
        <f>H99+I99+J99+K99+M99-N99</f>
        <v>46618</v>
      </c>
      <c r="AG99" s="13">
        <f>SUM(O99:AE99)</f>
        <v>16417</v>
      </c>
      <c r="AH99" s="13">
        <f>AF99-AG99</f>
        <v>30201</v>
      </c>
      <c r="AI99" s="12"/>
      <c r="AJ99" s="12"/>
      <c r="AK99" s="12"/>
    </row>
    <row r="100" spans="1:37">
      <c r="A100" s="16">
        <v>30</v>
      </c>
      <c r="B100" s="17">
        <v>2025</v>
      </c>
      <c r="C100" s="17" t="s">
        <v>127</v>
      </c>
      <c r="D100" s="17" t="s">
        <v>28</v>
      </c>
      <c r="E100" s="17"/>
      <c r="F100" s="18" t="s">
        <v>98</v>
      </c>
      <c r="G100" s="18" t="s">
        <v>26</v>
      </c>
      <c r="H100" s="9"/>
      <c r="I100" s="12"/>
      <c r="J100" s="12">
        <v>150</v>
      </c>
      <c r="K100" s="12"/>
      <c r="L100" s="12">
        <v>0</v>
      </c>
      <c r="M100" s="11">
        <f>L100*4+AI100-AJ100</f>
        <v>0</v>
      </c>
      <c r="N100" s="13"/>
      <c r="O100" s="12"/>
      <c r="P100" s="12"/>
      <c r="Q100" s="12"/>
      <c r="R100" s="12"/>
      <c r="S100" s="12"/>
      <c r="T100" s="12">
        <v>150</v>
      </c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3">
        <f>H100+I100+J100+K100+M100-N100</f>
        <v>150</v>
      </c>
      <c r="AG100" s="13">
        <f>SUM(O100:AE100)</f>
        <v>150</v>
      </c>
      <c r="AH100" s="13">
        <f>AF100-AG100</f>
        <v>0</v>
      </c>
      <c r="AI100" s="12"/>
      <c r="AJ100" s="12"/>
      <c r="AK100" s="12"/>
    </row>
    <row r="101" spans="1:37">
      <c r="A101" s="16">
        <v>31</v>
      </c>
      <c r="B101" s="16">
        <v>2057</v>
      </c>
      <c r="C101" s="12" t="s">
        <v>128</v>
      </c>
      <c r="D101" s="16" t="s">
        <v>23</v>
      </c>
      <c r="E101" s="16"/>
      <c r="F101" s="12" t="s">
        <v>98</v>
      </c>
      <c r="G101" s="12" t="s">
        <v>26</v>
      </c>
      <c r="H101" s="9"/>
      <c r="I101" s="12"/>
      <c r="J101" s="12">
        <v>150</v>
      </c>
      <c r="K101" s="12"/>
      <c r="L101" s="12">
        <v>10067</v>
      </c>
      <c r="M101" s="11">
        <f>L101*4+AI101-AJ101</f>
        <v>40268</v>
      </c>
      <c r="N101" s="13"/>
      <c r="O101" s="12"/>
      <c r="P101" s="12"/>
      <c r="Q101" s="12"/>
      <c r="R101" s="12"/>
      <c r="S101" s="12"/>
      <c r="T101" s="12">
        <v>10217</v>
      </c>
      <c r="U101" s="12"/>
      <c r="V101" s="12">
        <v>10067</v>
      </c>
      <c r="W101" s="12"/>
      <c r="X101" s="12"/>
      <c r="Y101" s="12"/>
      <c r="Z101" s="12"/>
      <c r="AA101" s="12"/>
      <c r="AB101" s="12"/>
      <c r="AC101" s="12"/>
      <c r="AD101" s="12"/>
      <c r="AE101" s="12"/>
      <c r="AF101" s="13">
        <f>H101+I101+J101+K101+M101-N101</f>
        <v>40418</v>
      </c>
      <c r="AG101" s="13">
        <f>SUM(O101:AE101)</f>
        <v>20284</v>
      </c>
      <c r="AH101" s="13">
        <f>AF101-AG101</f>
        <v>20134</v>
      </c>
      <c r="AI101" s="12"/>
      <c r="AJ101" s="12"/>
      <c r="AK101" s="12"/>
    </row>
    <row r="102" spans="1:37">
      <c r="A102" s="16">
        <v>32</v>
      </c>
      <c r="B102" s="16">
        <v>2012</v>
      </c>
      <c r="C102" s="16" t="s">
        <v>129</v>
      </c>
      <c r="D102" s="16" t="s">
        <v>28</v>
      </c>
      <c r="E102" s="16"/>
      <c r="F102" s="12" t="s">
        <v>98</v>
      </c>
      <c r="G102" s="12" t="s">
        <v>26</v>
      </c>
      <c r="H102" s="9"/>
      <c r="I102" s="12"/>
      <c r="J102" s="12">
        <v>150</v>
      </c>
      <c r="K102" s="12"/>
      <c r="L102" s="12">
        <v>10067</v>
      </c>
      <c r="M102" s="11">
        <f>L102*4+AI102-AJ102</f>
        <v>40268</v>
      </c>
      <c r="N102" s="13"/>
      <c r="O102" s="12"/>
      <c r="P102" s="12"/>
      <c r="Q102" s="12"/>
      <c r="R102" s="12"/>
      <c r="S102" s="12">
        <v>10217</v>
      </c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3">
        <f>H102+I102+J102+K102+M102-N102</f>
        <v>40418</v>
      </c>
      <c r="AG102" s="13">
        <f>SUM(O102:AE102)</f>
        <v>10217</v>
      </c>
      <c r="AH102" s="13">
        <f>AF102-AG102</f>
        <v>30201</v>
      </c>
      <c r="AI102" s="12"/>
      <c r="AJ102" s="12"/>
      <c r="AK102" s="12"/>
    </row>
    <row r="103" spans="1:37">
      <c r="A103" s="16">
        <v>33</v>
      </c>
      <c r="B103" s="23">
        <v>2136</v>
      </c>
      <c r="C103" s="23" t="s">
        <v>130</v>
      </c>
      <c r="D103" s="23" t="s">
        <v>23</v>
      </c>
      <c r="E103" s="23"/>
      <c r="F103" s="24" t="s">
        <v>98</v>
      </c>
      <c r="G103" s="24" t="s">
        <v>26</v>
      </c>
      <c r="H103" s="9"/>
      <c r="I103" s="12"/>
      <c r="J103" s="12">
        <v>150</v>
      </c>
      <c r="K103" s="12"/>
      <c r="L103" s="12">
        <v>5034</v>
      </c>
      <c r="M103" s="11">
        <f>L103*4+AI103-AJ103</f>
        <v>20136</v>
      </c>
      <c r="N103" s="13"/>
      <c r="O103" s="12"/>
      <c r="P103" s="12"/>
      <c r="Q103" s="12"/>
      <c r="R103" s="12"/>
      <c r="S103" s="12">
        <v>2000</v>
      </c>
      <c r="T103" s="12">
        <v>2000</v>
      </c>
      <c r="U103" s="12">
        <v>1034</v>
      </c>
      <c r="V103" s="12">
        <v>2000</v>
      </c>
      <c r="W103" s="12"/>
      <c r="X103" s="12"/>
      <c r="Y103" s="12"/>
      <c r="Z103" s="12"/>
      <c r="AA103" s="12"/>
      <c r="AB103" s="12"/>
      <c r="AC103" s="12"/>
      <c r="AD103" s="12"/>
      <c r="AE103" s="12"/>
      <c r="AF103" s="13">
        <f>H103+I103+J103+K103+M103-N103</f>
        <v>20286</v>
      </c>
      <c r="AG103" s="13">
        <f>SUM(O103:AE103)</f>
        <v>7034</v>
      </c>
      <c r="AH103" s="13">
        <f>AF103-AG103</f>
        <v>13252</v>
      </c>
      <c r="AI103" s="12"/>
      <c r="AJ103" s="12"/>
      <c r="AK103" s="12"/>
    </row>
    <row r="104" spans="1:37">
      <c r="A104" s="16">
        <v>34</v>
      </c>
      <c r="B104" s="16">
        <v>1990</v>
      </c>
      <c r="C104" s="12" t="s">
        <v>131</v>
      </c>
      <c r="D104" s="16" t="s">
        <v>23</v>
      </c>
      <c r="E104" s="16"/>
      <c r="F104" s="12" t="s">
        <v>98</v>
      </c>
      <c r="G104" s="12" t="s">
        <v>26</v>
      </c>
      <c r="H104" s="9"/>
      <c r="I104" s="12"/>
      <c r="J104" s="12">
        <v>150</v>
      </c>
      <c r="K104" s="12"/>
      <c r="L104" s="12">
        <v>10067</v>
      </c>
      <c r="M104" s="11">
        <f>L104*4+AI104-AJ104</f>
        <v>40268</v>
      </c>
      <c r="N104" s="13"/>
      <c r="O104" s="12"/>
      <c r="P104" s="12"/>
      <c r="Q104" s="12"/>
      <c r="R104" s="12"/>
      <c r="S104" s="12">
        <v>10217</v>
      </c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3">
        <f>H104+I104+J104+K104+M104-N104</f>
        <v>40418</v>
      </c>
      <c r="AG104" s="13">
        <f>SUM(O104:AE104)</f>
        <v>10217</v>
      </c>
      <c r="AH104" s="13">
        <f>AF104-AG104</f>
        <v>30201</v>
      </c>
      <c r="AI104" s="12"/>
      <c r="AJ104" s="12"/>
      <c r="AK104" s="12"/>
    </row>
    <row r="105" spans="1:37">
      <c r="A105" s="16">
        <v>35</v>
      </c>
      <c r="B105" s="17">
        <v>2022</v>
      </c>
      <c r="C105" s="17" t="s">
        <v>132</v>
      </c>
      <c r="D105" s="17" t="s">
        <v>28</v>
      </c>
      <c r="E105" s="17"/>
      <c r="F105" s="18" t="s">
        <v>98</v>
      </c>
      <c r="G105" s="18" t="s">
        <v>26</v>
      </c>
      <c r="H105" s="9"/>
      <c r="I105" s="12"/>
      <c r="J105" s="12">
        <v>150</v>
      </c>
      <c r="K105" s="12"/>
      <c r="L105" s="12">
        <v>0</v>
      </c>
      <c r="M105" s="11">
        <f>L105*4+AI105-AJ105</f>
        <v>0</v>
      </c>
      <c r="N105" s="13"/>
      <c r="O105" s="12"/>
      <c r="P105" s="12"/>
      <c r="Q105" s="12"/>
      <c r="R105" s="12"/>
      <c r="S105" s="12"/>
      <c r="T105" s="12">
        <v>150</v>
      </c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3">
        <f>H105+I105+J105+K105+M105-N105</f>
        <v>150</v>
      </c>
      <c r="AG105" s="13">
        <f>SUM(O105:AE105)</f>
        <v>150</v>
      </c>
      <c r="AH105" s="13">
        <f>AF105-AG105</f>
        <v>0</v>
      </c>
      <c r="AI105" s="12"/>
      <c r="AJ105" s="12"/>
      <c r="AK105" s="12"/>
    </row>
    <row r="106" spans="1:37">
      <c r="A106" s="16">
        <v>36</v>
      </c>
      <c r="B106" s="16">
        <v>2063</v>
      </c>
      <c r="C106" s="12" t="s">
        <v>133</v>
      </c>
      <c r="D106" s="16" t="s">
        <v>23</v>
      </c>
      <c r="E106" s="16"/>
      <c r="F106" s="12" t="s">
        <v>98</v>
      </c>
      <c r="G106" s="12" t="s">
        <v>26</v>
      </c>
      <c r="H106" s="9"/>
      <c r="I106" s="12"/>
      <c r="J106" s="12">
        <v>150</v>
      </c>
      <c r="K106" s="12"/>
      <c r="L106" s="12">
        <v>10067</v>
      </c>
      <c r="M106" s="11">
        <f>L106*4+AI106-AJ106</f>
        <v>40268</v>
      </c>
      <c r="N106" s="13"/>
      <c r="O106" s="12"/>
      <c r="P106" s="12"/>
      <c r="Q106" s="12"/>
      <c r="R106" s="12"/>
      <c r="S106" s="12"/>
      <c r="T106" s="12"/>
      <c r="U106" s="12">
        <v>10217</v>
      </c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3">
        <f>H106+I106+J106+K106+M106-N106</f>
        <v>40418</v>
      </c>
      <c r="AG106" s="13">
        <f>SUM(O106:AE106)</f>
        <v>10217</v>
      </c>
      <c r="AH106" s="13">
        <f>AF106-AG106</f>
        <v>30201</v>
      </c>
      <c r="AI106" s="12"/>
      <c r="AJ106" s="12"/>
      <c r="AK106" s="12">
        <v>300</v>
      </c>
    </row>
    <row r="107" spans="1:37">
      <c r="A107" s="16">
        <v>37</v>
      </c>
      <c r="B107" s="16">
        <v>1997</v>
      </c>
      <c r="C107" s="16" t="s">
        <v>134</v>
      </c>
      <c r="D107" s="16" t="s">
        <v>28</v>
      </c>
      <c r="E107" s="16"/>
      <c r="F107" s="12" t="s">
        <v>98</v>
      </c>
      <c r="G107" s="12" t="s">
        <v>26</v>
      </c>
      <c r="H107" s="9"/>
      <c r="I107" s="12"/>
      <c r="J107" s="12">
        <v>150</v>
      </c>
      <c r="K107" s="12"/>
      <c r="L107" s="12">
        <v>10067</v>
      </c>
      <c r="M107" s="11">
        <f>L107*4+AI107-AJ107</f>
        <v>40268</v>
      </c>
      <c r="N107" s="13">
        <v>2013</v>
      </c>
      <c r="O107" s="12"/>
      <c r="P107" s="12"/>
      <c r="Q107" s="12"/>
      <c r="R107" s="12"/>
      <c r="S107" s="11">
        <f>10217+28188</f>
        <v>38405</v>
      </c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3">
        <f>H107+I107+J107+K107+M107-N107</f>
        <v>38405</v>
      </c>
      <c r="AG107" s="13">
        <f>SUM(O107:AE107)</f>
        <v>38405</v>
      </c>
      <c r="AH107" s="13">
        <f>AF107-AG107</f>
        <v>0</v>
      </c>
      <c r="AI107" s="12"/>
      <c r="AJ107" s="12"/>
      <c r="AK107" s="12"/>
    </row>
    <row r="108" spans="1:37">
      <c r="A108" s="16">
        <v>38</v>
      </c>
      <c r="B108" s="16">
        <v>2001</v>
      </c>
      <c r="C108" s="16" t="s">
        <v>135</v>
      </c>
      <c r="D108" s="16" t="s">
        <v>28</v>
      </c>
      <c r="E108" s="16"/>
      <c r="F108" s="12" t="s">
        <v>98</v>
      </c>
      <c r="G108" s="12" t="s">
        <v>26</v>
      </c>
      <c r="H108" s="9"/>
      <c r="I108" s="12"/>
      <c r="J108" s="12">
        <v>150</v>
      </c>
      <c r="K108" s="12"/>
      <c r="L108" s="12">
        <v>10067</v>
      </c>
      <c r="M108" s="11">
        <f>L108*4+AI108-AJ108</f>
        <v>40268</v>
      </c>
      <c r="N108" s="13"/>
      <c r="O108" s="12"/>
      <c r="P108" s="12"/>
      <c r="Q108" s="12"/>
      <c r="R108" s="12"/>
      <c r="S108" s="12">
        <v>10217</v>
      </c>
      <c r="T108" s="12"/>
      <c r="U108" s="12"/>
      <c r="V108" s="12">
        <v>10067</v>
      </c>
      <c r="W108" s="12"/>
      <c r="X108" s="12"/>
      <c r="Y108" s="12"/>
      <c r="Z108" s="12"/>
      <c r="AA108" s="12"/>
      <c r="AB108" s="12"/>
      <c r="AC108" s="12"/>
      <c r="AD108" s="12"/>
      <c r="AE108" s="12"/>
      <c r="AF108" s="13">
        <f>H108+I108+J108+K108+M108-N108</f>
        <v>40418</v>
      </c>
      <c r="AG108" s="13">
        <f>SUM(O108:AE108)</f>
        <v>20284</v>
      </c>
      <c r="AH108" s="13">
        <f>AF108-AG108</f>
        <v>20134</v>
      </c>
      <c r="AI108" s="12"/>
      <c r="AJ108" s="12"/>
      <c r="AK108" s="12"/>
    </row>
    <row r="109" spans="1:37">
      <c r="A109" s="16">
        <v>39</v>
      </c>
      <c r="B109" s="16">
        <v>2023</v>
      </c>
      <c r="C109" s="12" t="s">
        <v>136</v>
      </c>
      <c r="D109" s="16" t="s">
        <v>28</v>
      </c>
      <c r="E109" s="16"/>
      <c r="F109" s="12" t="s">
        <v>98</v>
      </c>
      <c r="G109" s="12" t="s">
        <v>26</v>
      </c>
      <c r="H109" s="9"/>
      <c r="I109" s="12"/>
      <c r="J109" s="12">
        <v>150</v>
      </c>
      <c r="K109" s="12"/>
      <c r="L109" s="12">
        <v>10067</v>
      </c>
      <c r="M109" s="11">
        <f>L109*4+AI109-AJ109</f>
        <v>40268</v>
      </c>
      <c r="N109" s="13"/>
      <c r="O109" s="12"/>
      <c r="P109" s="12"/>
      <c r="Q109" s="12"/>
      <c r="R109" s="12"/>
      <c r="S109" s="12">
        <v>12529</v>
      </c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3">
        <f>H109+I109+J109+K109+M109-N109</f>
        <v>40418</v>
      </c>
      <c r="AG109" s="13">
        <f>SUM(O109:AE109)</f>
        <v>12529</v>
      </c>
      <c r="AH109" s="13">
        <f>AF109-AG109</f>
        <v>27889</v>
      </c>
      <c r="AI109" s="12"/>
      <c r="AJ109" s="12"/>
      <c r="AK109" s="12"/>
    </row>
    <row r="110" spans="1:37">
      <c r="A110" s="16">
        <v>1</v>
      </c>
      <c r="B110" s="16">
        <v>1987</v>
      </c>
      <c r="C110" s="16" t="s">
        <v>137</v>
      </c>
      <c r="D110" s="16" t="s">
        <v>23</v>
      </c>
      <c r="E110" s="16"/>
      <c r="F110" s="12" t="s">
        <v>98</v>
      </c>
      <c r="G110" s="12" t="s">
        <v>62</v>
      </c>
      <c r="H110" s="9"/>
      <c r="I110" s="12"/>
      <c r="J110" s="12">
        <v>150</v>
      </c>
      <c r="K110" s="12"/>
      <c r="L110" s="12">
        <v>10067</v>
      </c>
      <c r="M110" s="11">
        <f>L110*4+AI110-AJ110</f>
        <v>40268</v>
      </c>
      <c r="N110" s="13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3">
        <f>H110+I110+J110+K110+M110-N110</f>
        <v>40418</v>
      </c>
      <c r="AG110" s="13">
        <f>SUM(O110:AE110)</f>
        <v>0</v>
      </c>
      <c r="AH110" s="13">
        <f>AF110-AG110</f>
        <v>40418</v>
      </c>
      <c r="AI110" s="12"/>
      <c r="AJ110" s="12"/>
      <c r="AK110" s="12"/>
    </row>
    <row r="111" spans="1:37">
      <c r="A111" s="16">
        <v>2</v>
      </c>
      <c r="B111" s="16">
        <v>2039</v>
      </c>
      <c r="C111" s="16" t="s">
        <v>138</v>
      </c>
      <c r="D111" s="16" t="s">
        <v>28</v>
      </c>
      <c r="E111" s="16"/>
      <c r="F111" s="12" t="s">
        <v>98</v>
      </c>
      <c r="G111" s="12" t="s">
        <v>62</v>
      </c>
      <c r="H111" s="9"/>
      <c r="I111" s="12"/>
      <c r="J111" s="12">
        <v>150</v>
      </c>
      <c r="K111" s="12"/>
      <c r="L111" s="12">
        <v>10067</v>
      </c>
      <c r="M111" s="11">
        <f>L111*4+AI111-AJ111</f>
        <v>40268</v>
      </c>
      <c r="N111" s="13">
        <v>2013</v>
      </c>
      <c r="O111" s="12"/>
      <c r="P111" s="12"/>
      <c r="Q111" s="12"/>
      <c r="R111" s="12"/>
      <c r="S111" s="12">
        <v>38405</v>
      </c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3">
        <f>H111+I111+J111+K111+M111-N111</f>
        <v>38405</v>
      </c>
      <c r="AG111" s="13">
        <f>SUM(O111:AE111)</f>
        <v>38405</v>
      </c>
      <c r="AH111" s="13">
        <f>AF111-AG111</f>
        <v>0</v>
      </c>
      <c r="AI111" s="12"/>
      <c r="AJ111" s="12"/>
      <c r="AK111" s="12"/>
    </row>
    <row r="112" spans="1:37">
      <c r="A112" s="16">
        <v>3</v>
      </c>
      <c r="B112" s="23">
        <v>1986</v>
      </c>
      <c r="C112" s="23" t="s">
        <v>139</v>
      </c>
      <c r="D112" s="23" t="s">
        <v>23</v>
      </c>
      <c r="E112" s="23"/>
      <c r="F112" s="24" t="s">
        <v>98</v>
      </c>
      <c r="G112" s="24" t="s">
        <v>62</v>
      </c>
      <c r="H112" s="9"/>
      <c r="I112" s="12"/>
      <c r="J112" s="12">
        <v>150</v>
      </c>
      <c r="K112" s="12"/>
      <c r="L112" s="12">
        <v>5034</v>
      </c>
      <c r="M112" s="11">
        <f>L112*4+AI112-AJ112</f>
        <v>20136</v>
      </c>
      <c r="N112" s="13">
        <v>1009</v>
      </c>
      <c r="O112" s="12"/>
      <c r="P112" s="12"/>
      <c r="Q112" s="12"/>
      <c r="R112" s="12"/>
      <c r="S112" s="12">
        <v>19277</v>
      </c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3">
        <f>H112+I112+J112+K112+M112-N112</f>
        <v>19277</v>
      </c>
      <c r="AG112" s="13">
        <f>SUM(O112:AE112)</f>
        <v>19277</v>
      </c>
      <c r="AH112" s="13">
        <f>AF112-AG112</f>
        <v>0</v>
      </c>
      <c r="AI112" s="12"/>
      <c r="AJ112" s="12"/>
      <c r="AK112" s="12"/>
    </row>
    <row r="113" spans="1:37">
      <c r="A113" s="16">
        <v>4</v>
      </c>
      <c r="B113" s="16">
        <v>2013</v>
      </c>
      <c r="C113" s="16" t="s">
        <v>140</v>
      </c>
      <c r="D113" s="16" t="s">
        <v>28</v>
      </c>
      <c r="E113" s="16"/>
      <c r="F113" s="12" t="s">
        <v>98</v>
      </c>
      <c r="G113" s="12" t="s">
        <v>62</v>
      </c>
      <c r="H113" s="9"/>
      <c r="I113" s="12"/>
      <c r="J113" s="12">
        <v>150</v>
      </c>
      <c r="K113" s="12"/>
      <c r="L113" s="12">
        <v>10067</v>
      </c>
      <c r="M113" s="11">
        <f>L113*4+AI113-AJ113</f>
        <v>40268</v>
      </c>
      <c r="N113" s="13"/>
      <c r="O113" s="12"/>
      <c r="P113" s="12"/>
      <c r="Q113" s="12"/>
      <c r="R113" s="12"/>
      <c r="S113" s="12">
        <v>10217</v>
      </c>
      <c r="T113" s="12"/>
      <c r="U113" s="12"/>
      <c r="V113" s="12">
        <v>10067</v>
      </c>
      <c r="W113" s="12"/>
      <c r="X113" s="12"/>
      <c r="Y113" s="12"/>
      <c r="Z113" s="12"/>
      <c r="AA113" s="12"/>
      <c r="AB113" s="12"/>
      <c r="AC113" s="12"/>
      <c r="AD113" s="12"/>
      <c r="AE113" s="12"/>
      <c r="AF113" s="13">
        <f>H113+I113+J113+K113+M113-N113</f>
        <v>40418</v>
      </c>
      <c r="AG113" s="13">
        <f>SUM(O113:AE113)</f>
        <v>20284</v>
      </c>
      <c r="AH113" s="13">
        <f>AF113-AG113</f>
        <v>20134</v>
      </c>
      <c r="AI113" s="12"/>
      <c r="AJ113" s="12"/>
      <c r="AK113" s="12"/>
    </row>
    <row r="114" spans="1:37">
      <c r="A114" s="16">
        <v>5</v>
      </c>
      <c r="B114" s="16">
        <v>2139</v>
      </c>
      <c r="C114" s="16" t="s">
        <v>141</v>
      </c>
      <c r="D114" s="16" t="s">
        <v>28</v>
      </c>
      <c r="E114" s="16"/>
      <c r="F114" s="12" t="s">
        <v>98</v>
      </c>
      <c r="G114" s="12" t="s">
        <v>62</v>
      </c>
      <c r="H114" s="9"/>
      <c r="I114" s="12"/>
      <c r="J114" s="12">
        <v>150</v>
      </c>
      <c r="K114" s="12"/>
      <c r="L114" s="12">
        <v>10067</v>
      </c>
      <c r="M114" s="11">
        <f>L114*4+AI114-AJ114</f>
        <v>40268</v>
      </c>
      <c r="N114" s="13"/>
      <c r="O114" s="12"/>
      <c r="P114" s="12"/>
      <c r="Q114" s="12"/>
      <c r="R114" s="12"/>
      <c r="S114" s="12"/>
      <c r="T114" s="12"/>
      <c r="U114" s="12">
        <v>10217</v>
      </c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3">
        <f>H114+I114+J114+K114+M114-N114</f>
        <v>40418</v>
      </c>
      <c r="AG114" s="13">
        <f>SUM(O114:AE114)</f>
        <v>10217</v>
      </c>
      <c r="AH114" s="13">
        <f>AF114-AG114</f>
        <v>30201</v>
      </c>
      <c r="AI114" s="12"/>
      <c r="AJ114" s="12"/>
      <c r="AK114" s="12"/>
    </row>
    <row r="115" spans="1:37">
      <c r="A115" s="16">
        <v>6</v>
      </c>
      <c r="B115" s="16">
        <v>2073</v>
      </c>
      <c r="C115" s="16" t="s">
        <v>142</v>
      </c>
      <c r="D115" s="16" t="s">
        <v>28</v>
      </c>
      <c r="E115" s="16"/>
      <c r="F115" s="12" t="s">
        <v>98</v>
      </c>
      <c r="G115" s="12" t="s">
        <v>62</v>
      </c>
      <c r="H115" s="9"/>
      <c r="I115" s="12"/>
      <c r="J115" s="12">
        <v>150</v>
      </c>
      <c r="K115" s="12"/>
      <c r="L115" s="12">
        <v>10067</v>
      </c>
      <c r="M115" s="11">
        <f>L115*4+AI115-AJ115</f>
        <v>40268</v>
      </c>
      <c r="N115" s="13">
        <v>2013</v>
      </c>
      <c r="O115" s="12"/>
      <c r="P115" s="12"/>
      <c r="Q115" s="12"/>
      <c r="R115" s="12"/>
      <c r="S115" s="12">
        <v>38405</v>
      </c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3">
        <f>H115+I115+J115+K115+M115-N115</f>
        <v>38405</v>
      </c>
      <c r="AG115" s="13">
        <f>SUM(O115:AE115)</f>
        <v>38405</v>
      </c>
      <c r="AH115" s="13">
        <f>AF115-AG115</f>
        <v>0</v>
      </c>
      <c r="AI115" s="12"/>
      <c r="AJ115" s="12"/>
      <c r="AK115" s="12"/>
    </row>
    <row r="116" spans="1:37">
      <c r="A116" s="16">
        <v>7</v>
      </c>
      <c r="B116" s="16">
        <v>2006</v>
      </c>
      <c r="C116" s="12" t="s">
        <v>143</v>
      </c>
      <c r="D116" s="16" t="s">
        <v>28</v>
      </c>
      <c r="E116" s="16"/>
      <c r="F116" s="12" t="s">
        <v>98</v>
      </c>
      <c r="G116" s="12" t="s">
        <v>62</v>
      </c>
      <c r="H116" s="9"/>
      <c r="I116" s="12"/>
      <c r="J116" s="12">
        <v>150</v>
      </c>
      <c r="K116" s="12"/>
      <c r="L116" s="12">
        <v>10067</v>
      </c>
      <c r="M116" s="11">
        <f>L116*4+AI116-AJ116</f>
        <v>40268</v>
      </c>
      <c r="N116" s="13"/>
      <c r="O116" s="12"/>
      <c r="P116" s="12"/>
      <c r="Q116" s="12"/>
      <c r="R116" s="12"/>
      <c r="S116" s="12">
        <v>10300</v>
      </c>
      <c r="T116" s="12"/>
      <c r="U116" s="12"/>
      <c r="V116" s="12">
        <v>9984</v>
      </c>
      <c r="W116" s="12"/>
      <c r="X116" s="12"/>
      <c r="Y116" s="12"/>
      <c r="Z116" s="12"/>
      <c r="AA116" s="12"/>
      <c r="AB116" s="12"/>
      <c r="AC116" s="12"/>
      <c r="AD116" s="12"/>
      <c r="AE116" s="12"/>
      <c r="AF116" s="13">
        <f>H116+I116+J116+K116+M116-N116</f>
        <v>40418</v>
      </c>
      <c r="AG116" s="13">
        <f>SUM(O116:AE116)</f>
        <v>20284</v>
      </c>
      <c r="AH116" s="13">
        <f>AF116-AG116</f>
        <v>20134</v>
      </c>
      <c r="AI116" s="12"/>
      <c r="AJ116" s="12"/>
      <c r="AK116" s="12"/>
    </row>
    <row r="117" spans="1:37">
      <c r="A117" s="16">
        <v>8</v>
      </c>
      <c r="B117" s="16">
        <v>1996</v>
      </c>
      <c r="C117" s="16" t="s">
        <v>144</v>
      </c>
      <c r="D117" s="16" t="s">
        <v>28</v>
      </c>
      <c r="E117" s="16"/>
      <c r="F117" s="12" t="s">
        <v>98</v>
      </c>
      <c r="G117" s="12" t="s">
        <v>62</v>
      </c>
      <c r="H117" s="9"/>
      <c r="I117" s="12"/>
      <c r="J117" s="12">
        <v>150</v>
      </c>
      <c r="K117" s="12"/>
      <c r="L117" s="12">
        <v>10067</v>
      </c>
      <c r="M117" s="11">
        <f>L117*4+AI117-AJ117</f>
        <v>40268</v>
      </c>
      <c r="N117" s="13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3">
        <f>H117+I117+J117+K117+M117-N117</f>
        <v>40418</v>
      </c>
      <c r="AG117" s="13">
        <f>SUM(O117:AE117)</f>
        <v>0</v>
      </c>
      <c r="AH117" s="13">
        <f>AF117-AG117</f>
        <v>40418</v>
      </c>
      <c r="AI117" s="12"/>
      <c r="AJ117" s="12"/>
      <c r="AK117" s="12"/>
    </row>
    <row r="118" spans="1:37">
      <c r="A118" s="16">
        <v>9</v>
      </c>
      <c r="B118" s="16">
        <v>2017</v>
      </c>
      <c r="C118" s="16" t="s">
        <v>145</v>
      </c>
      <c r="D118" s="16" t="s">
        <v>23</v>
      </c>
      <c r="E118" s="16"/>
      <c r="F118" s="12" t="s">
        <v>98</v>
      </c>
      <c r="G118" s="12" t="s">
        <v>62</v>
      </c>
      <c r="H118" s="9"/>
      <c r="I118" s="12"/>
      <c r="J118" s="12">
        <v>150</v>
      </c>
      <c r="K118" s="12"/>
      <c r="L118" s="12">
        <v>10067</v>
      </c>
      <c r="M118" s="11">
        <f>L118*4+AI118-AJ118</f>
        <v>40268</v>
      </c>
      <c r="N118" s="13"/>
      <c r="O118" s="12"/>
      <c r="P118" s="12"/>
      <c r="Q118" s="12"/>
      <c r="R118" s="12"/>
      <c r="S118" s="12"/>
      <c r="T118" s="12">
        <v>10067</v>
      </c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3">
        <f>H118+I118+J118+K118+M118-N118</f>
        <v>40418</v>
      </c>
      <c r="AG118" s="13">
        <f>SUM(O118:AE118)</f>
        <v>10067</v>
      </c>
      <c r="AH118" s="13">
        <f>AF118-AG118</f>
        <v>30351</v>
      </c>
      <c r="AI118" s="12"/>
      <c r="AJ118" s="12"/>
      <c r="AK118" s="12"/>
    </row>
    <row r="119" spans="1:37">
      <c r="A119" s="16">
        <v>10</v>
      </c>
      <c r="B119" s="17">
        <v>2246</v>
      </c>
      <c r="C119" s="17" t="s">
        <v>146</v>
      </c>
      <c r="D119" s="17" t="s">
        <v>23</v>
      </c>
      <c r="E119" s="17" t="s">
        <v>24</v>
      </c>
      <c r="F119" s="18" t="s">
        <v>98</v>
      </c>
      <c r="G119" s="18" t="s">
        <v>62</v>
      </c>
      <c r="H119" s="9">
        <v>0</v>
      </c>
      <c r="I119" s="12">
        <v>1200</v>
      </c>
      <c r="J119" s="12">
        <v>0</v>
      </c>
      <c r="K119" s="12"/>
      <c r="L119" s="12">
        <v>0</v>
      </c>
      <c r="M119" s="11">
        <f>L119*4+AI119-AJ119</f>
        <v>0</v>
      </c>
      <c r="N119" s="13"/>
      <c r="O119" s="12">
        <v>0</v>
      </c>
      <c r="P119" s="12">
        <v>1200</v>
      </c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3">
        <f>H119+I119+J119+K119+M119-N119</f>
        <v>1200</v>
      </c>
      <c r="AG119" s="13">
        <f>SUM(O119:AE119)</f>
        <v>1200</v>
      </c>
      <c r="AH119" s="13">
        <f>AF119-AG119</f>
        <v>0</v>
      </c>
      <c r="AI119" s="12"/>
      <c r="AJ119" s="12"/>
      <c r="AK119" s="12"/>
    </row>
    <row r="120" spans="1:37">
      <c r="A120" s="16">
        <v>11</v>
      </c>
      <c r="B120" s="16">
        <v>2004</v>
      </c>
      <c r="C120" s="16" t="s">
        <v>147</v>
      </c>
      <c r="D120" s="16" t="s">
        <v>28</v>
      </c>
      <c r="E120" s="16"/>
      <c r="F120" s="12" t="s">
        <v>98</v>
      </c>
      <c r="G120" s="12" t="s">
        <v>62</v>
      </c>
      <c r="H120" s="9"/>
      <c r="I120" s="12"/>
      <c r="J120" s="12">
        <v>150</v>
      </c>
      <c r="K120" s="12"/>
      <c r="L120" s="12">
        <v>10067</v>
      </c>
      <c r="M120" s="11">
        <f>L120*4+AI120-AJ120</f>
        <v>40268</v>
      </c>
      <c r="N120" s="13"/>
      <c r="O120" s="12"/>
      <c r="P120" s="12"/>
      <c r="Q120" s="12"/>
      <c r="R120" s="12"/>
      <c r="S120" s="12">
        <v>10212</v>
      </c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3">
        <f>H120+I120+J120+K120+M120-N120</f>
        <v>40418</v>
      </c>
      <c r="AG120" s="13">
        <f>SUM(O120:AE120)</f>
        <v>10212</v>
      </c>
      <c r="AH120" s="13">
        <f>AF120-AG120</f>
        <v>30206</v>
      </c>
      <c r="AI120" s="12"/>
      <c r="AJ120" s="12"/>
      <c r="AK120" s="12"/>
    </row>
    <row r="121" spans="1:37">
      <c r="A121" s="16">
        <v>12</v>
      </c>
      <c r="B121" s="16">
        <v>1991</v>
      </c>
      <c r="C121" s="12" t="s">
        <v>148</v>
      </c>
      <c r="D121" s="16" t="s">
        <v>28</v>
      </c>
      <c r="E121" s="16"/>
      <c r="F121" s="12" t="s">
        <v>98</v>
      </c>
      <c r="G121" s="12" t="s">
        <v>62</v>
      </c>
      <c r="H121" s="9"/>
      <c r="I121" s="12"/>
      <c r="J121" s="12">
        <v>150</v>
      </c>
      <c r="K121" s="12"/>
      <c r="L121" s="12">
        <v>10067</v>
      </c>
      <c r="M121" s="11">
        <f>L121*4+AI121-AJ121</f>
        <v>40268</v>
      </c>
      <c r="N121" s="13">
        <v>2013</v>
      </c>
      <c r="O121" s="12"/>
      <c r="P121" s="12"/>
      <c r="Q121" s="12"/>
      <c r="R121" s="12"/>
      <c r="S121" s="12">
        <v>38405</v>
      </c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3">
        <f>H121+I121+J121+K121+M121-N121</f>
        <v>38405</v>
      </c>
      <c r="AG121" s="13">
        <f>SUM(O121:AE121)</f>
        <v>38405</v>
      </c>
      <c r="AH121" s="13">
        <f>AF121-AG121</f>
        <v>0</v>
      </c>
      <c r="AI121" s="12"/>
      <c r="AJ121" s="12"/>
      <c r="AK121" s="12"/>
    </row>
    <row r="122" spans="1:37">
      <c r="A122" s="16">
        <v>13</v>
      </c>
      <c r="B122" s="17">
        <v>2049</v>
      </c>
      <c r="C122" s="18" t="s">
        <v>149</v>
      </c>
      <c r="D122" s="17" t="s">
        <v>28</v>
      </c>
      <c r="E122" s="17"/>
      <c r="F122" s="18" t="s">
        <v>98</v>
      </c>
      <c r="G122" s="18" t="s">
        <v>62</v>
      </c>
      <c r="H122" s="9"/>
      <c r="I122" s="12"/>
      <c r="J122" s="12">
        <v>150</v>
      </c>
      <c r="K122" s="12"/>
      <c r="L122" s="12">
        <v>0</v>
      </c>
      <c r="M122" s="11">
        <f>L122*4+AI122-AJ122</f>
        <v>0</v>
      </c>
      <c r="N122" s="13"/>
      <c r="O122" s="12"/>
      <c r="P122" s="12"/>
      <c r="Q122" s="12"/>
      <c r="R122" s="12"/>
      <c r="S122" s="12"/>
      <c r="T122" s="12"/>
      <c r="U122" s="12"/>
      <c r="V122" s="12">
        <v>150</v>
      </c>
      <c r="W122" s="12"/>
      <c r="X122" s="12"/>
      <c r="Y122" s="12"/>
      <c r="Z122" s="12"/>
      <c r="AA122" s="12"/>
      <c r="AB122" s="12"/>
      <c r="AC122" s="12"/>
      <c r="AD122" s="12"/>
      <c r="AE122" s="12"/>
      <c r="AF122" s="13">
        <f>H122+I122+J122+K122+M122-N122</f>
        <v>150</v>
      </c>
      <c r="AG122" s="13">
        <f>SUM(O122:AE122)</f>
        <v>150</v>
      </c>
      <c r="AH122" s="13">
        <f>AF122-AG122</f>
        <v>0</v>
      </c>
      <c r="AI122" s="12"/>
      <c r="AJ122" s="12"/>
      <c r="AK122" s="12"/>
    </row>
    <row r="123" spans="1:37">
      <c r="A123" s="16">
        <v>14</v>
      </c>
      <c r="B123" s="16">
        <v>2002</v>
      </c>
      <c r="C123" s="16" t="s">
        <v>150</v>
      </c>
      <c r="D123" s="16" t="s">
        <v>28</v>
      </c>
      <c r="E123" s="16"/>
      <c r="F123" s="12" t="s">
        <v>98</v>
      </c>
      <c r="G123" s="12" t="s">
        <v>62</v>
      </c>
      <c r="H123" s="9"/>
      <c r="I123" s="12"/>
      <c r="J123" s="12">
        <v>150</v>
      </c>
      <c r="K123" s="12"/>
      <c r="L123" s="12">
        <v>10067</v>
      </c>
      <c r="M123" s="11">
        <f>L123*4+AI123-AJ123</f>
        <v>40268</v>
      </c>
      <c r="N123" s="13"/>
      <c r="O123" s="12"/>
      <c r="P123" s="12"/>
      <c r="Q123" s="12"/>
      <c r="R123" s="12"/>
      <c r="S123" s="12"/>
      <c r="T123" s="12">
        <v>10217</v>
      </c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3">
        <f>H123+I123+J123+K123+M123-N123</f>
        <v>40418</v>
      </c>
      <c r="AG123" s="13">
        <f>SUM(O123:AE123)</f>
        <v>10217</v>
      </c>
      <c r="AH123" s="13">
        <f>AF123-AG123</f>
        <v>30201</v>
      </c>
      <c r="AI123" s="12"/>
      <c r="AJ123" s="12"/>
      <c r="AK123" s="12"/>
    </row>
    <row r="124" spans="1:37">
      <c r="A124" s="16">
        <v>15</v>
      </c>
      <c r="B124" s="16">
        <v>2024</v>
      </c>
      <c r="C124" s="16" t="s">
        <v>151</v>
      </c>
      <c r="D124" s="16" t="s">
        <v>28</v>
      </c>
      <c r="E124" s="16"/>
      <c r="F124" s="12" t="s">
        <v>98</v>
      </c>
      <c r="G124" s="12" t="s">
        <v>62</v>
      </c>
      <c r="H124" s="9"/>
      <c r="I124" s="12"/>
      <c r="J124" s="12">
        <v>150</v>
      </c>
      <c r="K124" s="12"/>
      <c r="L124" s="12">
        <v>10067</v>
      </c>
      <c r="M124" s="11">
        <f>L124*4+AI124-AJ124</f>
        <v>40268</v>
      </c>
      <c r="N124" s="13"/>
      <c r="O124" s="12"/>
      <c r="P124" s="12"/>
      <c r="Q124" s="12"/>
      <c r="R124" s="12"/>
      <c r="S124" s="12"/>
      <c r="T124" s="11">
        <f>2000+8217</f>
        <v>10217</v>
      </c>
      <c r="U124" s="12"/>
      <c r="V124" s="12">
        <v>10067</v>
      </c>
      <c r="W124" s="12"/>
      <c r="X124" s="12"/>
      <c r="Y124" s="12"/>
      <c r="Z124" s="12"/>
      <c r="AA124" s="12"/>
      <c r="AB124" s="12"/>
      <c r="AC124" s="12"/>
      <c r="AD124" s="12"/>
      <c r="AE124" s="12"/>
      <c r="AF124" s="13">
        <f>H124+I124+J124+K124+M124-N124</f>
        <v>40418</v>
      </c>
      <c r="AG124" s="13">
        <f>SUM(O124:AE124)</f>
        <v>20284</v>
      </c>
      <c r="AH124" s="13">
        <f>AF124-AG124</f>
        <v>20134</v>
      </c>
      <c r="AI124" s="12"/>
      <c r="AJ124" s="12"/>
      <c r="AK124" s="12"/>
    </row>
    <row r="125" spans="1:37">
      <c r="A125" s="16">
        <v>16</v>
      </c>
      <c r="B125" s="17">
        <v>2115</v>
      </c>
      <c r="C125" s="17" t="s">
        <v>152</v>
      </c>
      <c r="D125" s="17" t="s">
        <v>23</v>
      </c>
      <c r="E125" s="17"/>
      <c r="F125" s="18" t="s">
        <v>98</v>
      </c>
      <c r="G125" s="18" t="s">
        <v>62</v>
      </c>
      <c r="H125" s="9"/>
      <c r="I125" s="12"/>
      <c r="J125" s="12">
        <v>150</v>
      </c>
      <c r="K125" s="12"/>
      <c r="L125" s="12">
        <v>0</v>
      </c>
      <c r="M125" s="11">
        <f>L125*4+AI125-AJ125</f>
        <v>0</v>
      </c>
      <c r="N125" s="13"/>
      <c r="O125" s="12"/>
      <c r="P125" s="12"/>
      <c r="Q125" s="12"/>
      <c r="R125" s="12"/>
      <c r="S125" s="12"/>
      <c r="T125" s="12"/>
      <c r="U125" s="12">
        <v>150</v>
      </c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3">
        <f>H125+I125+J125+K125+M125-N125</f>
        <v>150</v>
      </c>
      <c r="AG125" s="13">
        <f>SUM(O125:AE125)</f>
        <v>150</v>
      </c>
      <c r="AH125" s="13">
        <f>AF125-AG125</f>
        <v>0</v>
      </c>
      <c r="AI125" s="12"/>
      <c r="AJ125" s="12"/>
      <c r="AK125" s="12"/>
    </row>
    <row r="126" spans="1:37">
      <c r="A126" s="16">
        <v>17</v>
      </c>
      <c r="B126" s="17">
        <v>2028</v>
      </c>
      <c r="C126" s="17" t="s">
        <v>153</v>
      </c>
      <c r="D126" s="17" t="s">
        <v>23</v>
      </c>
      <c r="E126" s="17"/>
      <c r="F126" s="18" t="s">
        <v>98</v>
      </c>
      <c r="G126" s="18" t="s">
        <v>62</v>
      </c>
      <c r="H126" s="9"/>
      <c r="I126" s="12"/>
      <c r="J126" s="12">
        <v>150</v>
      </c>
      <c r="K126" s="12"/>
      <c r="L126" s="12">
        <v>0</v>
      </c>
      <c r="M126" s="11">
        <f>L126*4+AI126-AJ126</f>
        <v>0</v>
      </c>
      <c r="N126" s="13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3">
        <f>H126+I126+J126+K126+M126-N126</f>
        <v>150</v>
      </c>
      <c r="AG126" s="13">
        <f>SUM(O126:AE126)</f>
        <v>0</v>
      </c>
      <c r="AH126" s="13">
        <f>AF126-AG126</f>
        <v>150</v>
      </c>
      <c r="AI126" s="12"/>
      <c r="AJ126" s="12"/>
      <c r="AK126" s="12"/>
    </row>
    <row r="127" spans="1:37">
      <c r="A127" s="16">
        <v>18</v>
      </c>
      <c r="B127" s="16">
        <v>2000</v>
      </c>
      <c r="C127" s="12" t="s">
        <v>154</v>
      </c>
      <c r="D127" s="16" t="s">
        <v>23</v>
      </c>
      <c r="E127" s="16"/>
      <c r="F127" s="12" t="s">
        <v>98</v>
      </c>
      <c r="G127" s="12" t="s">
        <v>62</v>
      </c>
      <c r="H127" s="9"/>
      <c r="I127" s="12"/>
      <c r="J127" s="12">
        <v>150</v>
      </c>
      <c r="K127" s="12"/>
      <c r="L127" s="12">
        <v>10067</v>
      </c>
      <c r="M127" s="11">
        <f>L127*4+AI127-AJ127</f>
        <v>40268</v>
      </c>
      <c r="N127" s="13"/>
      <c r="O127" s="12"/>
      <c r="P127" s="12"/>
      <c r="Q127" s="12"/>
      <c r="R127" s="12"/>
      <c r="S127" s="12">
        <v>8217</v>
      </c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3">
        <f>H127+I127+J127+K127+M127-N127</f>
        <v>40418</v>
      </c>
      <c r="AG127" s="13">
        <f>SUM(O127:AE127)</f>
        <v>8217</v>
      </c>
      <c r="AH127" s="13">
        <f>AF127-AG127</f>
        <v>32201</v>
      </c>
      <c r="AI127" s="12"/>
      <c r="AJ127" s="12"/>
      <c r="AK127" s="12"/>
    </row>
    <row r="128" spans="1:37">
      <c r="A128" s="16">
        <v>19</v>
      </c>
      <c r="B128" s="16">
        <v>2047</v>
      </c>
      <c r="C128" s="12" t="s">
        <v>155</v>
      </c>
      <c r="D128" s="16" t="s">
        <v>23</v>
      </c>
      <c r="E128" s="16"/>
      <c r="F128" s="12" t="s">
        <v>98</v>
      </c>
      <c r="G128" s="12" t="s">
        <v>62</v>
      </c>
      <c r="H128" s="9"/>
      <c r="I128" s="12"/>
      <c r="J128" s="12">
        <v>150</v>
      </c>
      <c r="K128" s="12"/>
      <c r="L128" s="12">
        <v>10067</v>
      </c>
      <c r="M128" s="11">
        <f>L128*4+AI128-AJ128</f>
        <v>40268</v>
      </c>
      <c r="N128" s="13"/>
      <c r="O128" s="12"/>
      <c r="P128" s="12"/>
      <c r="Q128" s="12"/>
      <c r="R128" s="12"/>
      <c r="S128" s="12"/>
      <c r="T128" s="12"/>
      <c r="U128" s="12">
        <v>10217</v>
      </c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3">
        <f>H128+I128+J128+K128+M128-N128</f>
        <v>40418</v>
      </c>
      <c r="AG128" s="13">
        <f>SUM(O128:AE128)</f>
        <v>10217</v>
      </c>
      <c r="AH128" s="13">
        <f>AF128-AG128</f>
        <v>30201</v>
      </c>
      <c r="AI128" s="12"/>
      <c r="AJ128" s="12"/>
      <c r="AK128" s="12"/>
    </row>
    <row r="129" spans="1:37">
      <c r="A129" s="16">
        <v>20</v>
      </c>
      <c r="B129" s="16">
        <v>2041</v>
      </c>
      <c r="C129" s="16" t="s">
        <v>156</v>
      </c>
      <c r="D129" s="16" t="s">
        <v>28</v>
      </c>
      <c r="E129" s="16"/>
      <c r="F129" s="12" t="s">
        <v>98</v>
      </c>
      <c r="G129" s="12" t="s">
        <v>62</v>
      </c>
      <c r="H129" s="9"/>
      <c r="I129" s="12"/>
      <c r="J129" s="12">
        <v>150</v>
      </c>
      <c r="K129" s="12"/>
      <c r="L129" s="12">
        <v>10067</v>
      </c>
      <c r="M129" s="11">
        <f>L129*4+AI129-AJ129</f>
        <v>40268</v>
      </c>
      <c r="N129" s="13"/>
      <c r="O129" s="12"/>
      <c r="P129" s="12"/>
      <c r="Q129" s="12"/>
      <c r="R129" s="12"/>
      <c r="S129" s="12">
        <v>10217</v>
      </c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3">
        <f>H129+I129+J129+K129+M129-N129</f>
        <v>40418</v>
      </c>
      <c r="AG129" s="13">
        <f>SUM(O129:AE129)</f>
        <v>10217</v>
      </c>
      <c r="AH129" s="13">
        <f>AF129-AG129</f>
        <v>30201</v>
      </c>
      <c r="AI129" s="12"/>
      <c r="AJ129" s="12"/>
      <c r="AK129" s="12"/>
    </row>
    <row r="130" spans="1:37">
      <c r="A130" s="16">
        <v>21</v>
      </c>
      <c r="B130" s="17">
        <v>2236</v>
      </c>
      <c r="C130" s="17" t="s">
        <v>157</v>
      </c>
      <c r="D130" s="17" t="s">
        <v>28</v>
      </c>
      <c r="E130" s="17" t="s">
        <v>24</v>
      </c>
      <c r="F130" s="18" t="s">
        <v>98</v>
      </c>
      <c r="G130" s="18" t="s">
        <v>62</v>
      </c>
      <c r="H130" s="9"/>
      <c r="I130" s="12">
        <v>1200</v>
      </c>
      <c r="J130" s="12">
        <v>0</v>
      </c>
      <c r="K130" s="12"/>
      <c r="L130" s="12">
        <v>0</v>
      </c>
      <c r="M130" s="11">
        <f>L130*4+AI130-AJ130</f>
        <v>0</v>
      </c>
      <c r="N130" s="13"/>
      <c r="O130" s="12">
        <v>0</v>
      </c>
      <c r="P130" s="12">
        <v>1200</v>
      </c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3">
        <f>H130+I130+J130+K130+M130-N130</f>
        <v>1200</v>
      </c>
      <c r="AG130" s="13">
        <f>SUM(O130:AE130)</f>
        <v>1200</v>
      </c>
      <c r="AH130" s="13">
        <f>AF130-AG130</f>
        <v>0</v>
      </c>
      <c r="AI130" s="12"/>
      <c r="AJ130" s="12"/>
      <c r="AK130" s="12"/>
    </row>
    <row r="131" spans="1:37">
      <c r="A131" s="16">
        <v>22</v>
      </c>
      <c r="B131" s="16">
        <v>2051</v>
      </c>
      <c r="C131" s="16" t="s">
        <v>158</v>
      </c>
      <c r="D131" s="16" t="s">
        <v>28</v>
      </c>
      <c r="E131" s="16"/>
      <c r="F131" s="12" t="s">
        <v>98</v>
      </c>
      <c r="G131" s="12" t="s">
        <v>62</v>
      </c>
      <c r="H131" s="9"/>
      <c r="I131" s="12"/>
      <c r="J131" s="12">
        <v>150</v>
      </c>
      <c r="K131" s="12"/>
      <c r="L131" s="12">
        <v>10067</v>
      </c>
      <c r="M131" s="11">
        <f>L131*4+AI131-AJ131</f>
        <v>40268</v>
      </c>
      <c r="N131" s="13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3">
        <f>H131+I131+J131+K131+M131-N131</f>
        <v>40418</v>
      </c>
      <c r="AG131" s="13">
        <f>SUM(O131:AE131)</f>
        <v>0</v>
      </c>
      <c r="AH131" s="13">
        <f>AF131-AG131</f>
        <v>40418</v>
      </c>
      <c r="AI131" s="12"/>
      <c r="AJ131" s="12"/>
      <c r="AK131" s="12"/>
    </row>
    <row r="132" spans="1:37" customHeight="1" ht="25.5">
      <c r="A132" s="16">
        <v>23</v>
      </c>
      <c r="B132" s="17">
        <v>2127</v>
      </c>
      <c r="C132" s="17" t="s">
        <v>159</v>
      </c>
      <c r="D132" s="17" t="s">
        <v>28</v>
      </c>
      <c r="E132" s="17"/>
      <c r="F132" s="18" t="s">
        <v>98</v>
      </c>
      <c r="G132" s="18" t="s">
        <v>62</v>
      </c>
      <c r="H132" s="9"/>
      <c r="I132" s="12"/>
      <c r="J132" s="12">
        <v>150</v>
      </c>
      <c r="K132" s="12"/>
      <c r="L132" s="12">
        <v>0</v>
      </c>
      <c r="M132" s="11">
        <f>L132*4+AI132-AJ132</f>
        <v>0</v>
      </c>
      <c r="N132" s="13"/>
      <c r="O132" s="12"/>
      <c r="P132" s="12"/>
      <c r="Q132" s="12"/>
      <c r="R132" s="12"/>
      <c r="S132" s="12"/>
      <c r="T132" s="12">
        <v>150</v>
      </c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3">
        <f>H132+I132+J132+K132+M132-N132</f>
        <v>150</v>
      </c>
      <c r="AG132" s="13">
        <f>SUM(O132:AE132)</f>
        <v>150</v>
      </c>
      <c r="AH132" s="13">
        <f>AF132-AG132</f>
        <v>0</v>
      </c>
      <c r="AI132" s="12"/>
      <c r="AJ132" s="12"/>
      <c r="AK132" s="12"/>
    </row>
    <row r="133" spans="1:37">
      <c r="A133" s="16">
        <v>24</v>
      </c>
      <c r="B133" s="23">
        <v>2005</v>
      </c>
      <c r="C133" s="24" t="s">
        <v>160</v>
      </c>
      <c r="D133" s="23" t="s">
        <v>28</v>
      </c>
      <c r="E133" s="23"/>
      <c r="F133" s="24" t="s">
        <v>98</v>
      </c>
      <c r="G133" s="24" t="s">
        <v>62</v>
      </c>
      <c r="H133" s="9"/>
      <c r="I133" s="12"/>
      <c r="J133" s="12">
        <v>150</v>
      </c>
      <c r="K133" s="12"/>
      <c r="L133" s="12">
        <v>5034</v>
      </c>
      <c r="M133" s="11">
        <f>L133*4+AI133-AJ133</f>
        <v>20136</v>
      </c>
      <c r="N133" s="13"/>
      <c r="O133" s="12"/>
      <c r="P133" s="12"/>
      <c r="Q133" s="12"/>
      <c r="R133" s="12"/>
      <c r="S133" s="12"/>
      <c r="T133" s="12">
        <v>5184</v>
      </c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3">
        <f>H133+I133+J133+K133+M133-N133</f>
        <v>20286</v>
      </c>
      <c r="AG133" s="13">
        <f>SUM(O133:AE133)</f>
        <v>5184</v>
      </c>
      <c r="AH133" s="13">
        <f>AF133-AG133</f>
        <v>15102</v>
      </c>
      <c r="AI133" s="12"/>
      <c r="AJ133" s="12"/>
      <c r="AK133" s="12"/>
    </row>
    <row r="134" spans="1:37">
      <c r="A134" s="16">
        <v>25</v>
      </c>
      <c r="B134" s="16">
        <v>2029</v>
      </c>
      <c r="C134" s="16" t="s">
        <v>161</v>
      </c>
      <c r="D134" s="16" t="s">
        <v>28</v>
      </c>
      <c r="E134" s="16"/>
      <c r="F134" s="12" t="s">
        <v>98</v>
      </c>
      <c r="G134" s="12" t="s">
        <v>62</v>
      </c>
      <c r="H134" s="9"/>
      <c r="I134" s="12"/>
      <c r="J134" s="12">
        <v>150</v>
      </c>
      <c r="K134" s="12"/>
      <c r="L134" s="12">
        <v>10067</v>
      </c>
      <c r="M134" s="11">
        <f>L134*4+AI134-AJ134</f>
        <v>40268</v>
      </c>
      <c r="N134" s="13"/>
      <c r="O134" s="12"/>
      <c r="P134" s="12"/>
      <c r="Q134" s="12"/>
      <c r="R134" s="12"/>
      <c r="S134" s="12">
        <v>10217</v>
      </c>
      <c r="T134" s="12"/>
      <c r="U134" s="12"/>
      <c r="V134" s="12">
        <v>10067</v>
      </c>
      <c r="W134" s="12"/>
      <c r="X134" s="12"/>
      <c r="Y134" s="12"/>
      <c r="Z134" s="12"/>
      <c r="AA134" s="12"/>
      <c r="AB134" s="12"/>
      <c r="AC134" s="12"/>
      <c r="AD134" s="12"/>
      <c r="AE134" s="12"/>
      <c r="AF134" s="13">
        <f>H134+I134+J134+K134+M134-N134</f>
        <v>40418</v>
      </c>
      <c r="AG134" s="13">
        <f>SUM(O134:AE134)</f>
        <v>20284</v>
      </c>
      <c r="AH134" s="13">
        <f>AF134-AG134</f>
        <v>20134</v>
      </c>
      <c r="AI134" s="12"/>
      <c r="AJ134" s="12"/>
      <c r="AK134" s="12"/>
    </row>
    <row r="135" spans="1:37">
      <c r="A135" s="16">
        <v>26</v>
      </c>
      <c r="B135" s="16">
        <v>2009</v>
      </c>
      <c r="C135" s="16" t="s">
        <v>162</v>
      </c>
      <c r="D135" s="16" t="s">
        <v>23</v>
      </c>
      <c r="E135" s="16"/>
      <c r="F135" s="12" t="s">
        <v>98</v>
      </c>
      <c r="G135" s="12" t="s">
        <v>62</v>
      </c>
      <c r="H135" s="9"/>
      <c r="I135" s="12"/>
      <c r="J135" s="12">
        <v>150</v>
      </c>
      <c r="K135" s="12"/>
      <c r="L135" s="12">
        <v>10067</v>
      </c>
      <c r="M135" s="11">
        <f>L135*4+AI135-AJ135</f>
        <v>40268</v>
      </c>
      <c r="N135" s="13"/>
      <c r="O135" s="12"/>
      <c r="P135" s="12"/>
      <c r="Q135" s="12"/>
      <c r="R135" s="12"/>
      <c r="S135" s="12">
        <v>10217</v>
      </c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3">
        <f>H135+I135+J135+K135+M135-N135</f>
        <v>40418</v>
      </c>
      <c r="AG135" s="13">
        <f>SUM(O135:AE135)</f>
        <v>10217</v>
      </c>
      <c r="AH135" s="13">
        <f>AF135-AG135</f>
        <v>30201</v>
      </c>
      <c r="AI135" s="12"/>
      <c r="AJ135" s="12"/>
      <c r="AK135" s="12"/>
    </row>
    <row r="136" spans="1:37">
      <c r="A136" s="16">
        <v>27</v>
      </c>
      <c r="B136" s="16">
        <v>2046</v>
      </c>
      <c r="C136" s="12" t="s">
        <v>163</v>
      </c>
      <c r="D136" s="16" t="s">
        <v>28</v>
      </c>
      <c r="E136" s="16"/>
      <c r="F136" s="12" t="s">
        <v>98</v>
      </c>
      <c r="G136" s="12" t="s">
        <v>62</v>
      </c>
      <c r="H136" s="9"/>
      <c r="I136" s="12"/>
      <c r="J136" s="12">
        <v>150</v>
      </c>
      <c r="K136" s="12"/>
      <c r="L136" s="12">
        <v>10067</v>
      </c>
      <c r="M136" s="11">
        <f>L136*4+AI136-AJ136</f>
        <v>40268</v>
      </c>
      <c r="N136" s="13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3">
        <f>H136+I136+J136+K136+M136-N136</f>
        <v>40418</v>
      </c>
      <c r="AG136" s="13">
        <f>SUM(O136:AE136)</f>
        <v>0</v>
      </c>
      <c r="AH136" s="13">
        <f>AF136-AG136</f>
        <v>40418</v>
      </c>
      <c r="AI136" s="12"/>
      <c r="AJ136" s="12"/>
      <c r="AK136" s="12"/>
    </row>
    <row r="137" spans="1:37">
      <c r="A137" s="16">
        <v>28</v>
      </c>
      <c r="B137" s="16">
        <v>2044</v>
      </c>
      <c r="C137" s="12" t="s">
        <v>164</v>
      </c>
      <c r="D137" s="16" t="s">
        <v>23</v>
      </c>
      <c r="E137" s="16"/>
      <c r="F137" s="12" t="s">
        <v>98</v>
      </c>
      <c r="G137" s="12" t="s">
        <v>62</v>
      </c>
      <c r="H137" s="9"/>
      <c r="I137" s="12"/>
      <c r="J137" s="12">
        <v>150</v>
      </c>
      <c r="K137" s="12"/>
      <c r="L137" s="12">
        <v>10067</v>
      </c>
      <c r="M137" s="11">
        <f>L137*4+AI137-AJ137</f>
        <v>40268</v>
      </c>
      <c r="N137" s="13"/>
      <c r="O137" s="12"/>
      <c r="P137" s="12"/>
      <c r="Q137" s="12"/>
      <c r="R137" s="12"/>
      <c r="S137" s="12">
        <v>10217</v>
      </c>
      <c r="T137" s="12"/>
      <c r="U137" s="12"/>
      <c r="V137" s="12">
        <v>10067</v>
      </c>
      <c r="W137" s="12"/>
      <c r="X137" s="12"/>
      <c r="Y137" s="12"/>
      <c r="Z137" s="12"/>
      <c r="AA137" s="12"/>
      <c r="AB137" s="12"/>
      <c r="AC137" s="12"/>
      <c r="AD137" s="12"/>
      <c r="AE137" s="12"/>
      <c r="AF137" s="13">
        <f>H137+I137+J137+K137+M137-N137</f>
        <v>40418</v>
      </c>
      <c r="AG137" s="13">
        <f>SUM(O137:AE137)</f>
        <v>20284</v>
      </c>
      <c r="AH137" s="13">
        <f>AF137-AG137</f>
        <v>20134</v>
      </c>
      <c r="AI137" s="12"/>
      <c r="AJ137" s="12"/>
      <c r="AK137" s="12"/>
    </row>
    <row r="138" spans="1:37">
      <c r="A138" s="16">
        <v>29</v>
      </c>
      <c r="B138" s="17">
        <v>2117</v>
      </c>
      <c r="C138" s="18" t="s">
        <v>165</v>
      </c>
      <c r="D138" s="17" t="s">
        <v>28</v>
      </c>
      <c r="E138" s="17"/>
      <c r="F138" s="18" t="s">
        <v>98</v>
      </c>
      <c r="G138" s="18" t="s">
        <v>62</v>
      </c>
      <c r="H138" s="9"/>
      <c r="I138" s="12"/>
      <c r="J138" s="12">
        <v>150</v>
      </c>
      <c r="K138" s="12"/>
      <c r="L138" s="12">
        <v>0</v>
      </c>
      <c r="M138" s="11">
        <f>L138*4+AI138-AJ138</f>
        <v>0</v>
      </c>
      <c r="N138" s="13"/>
      <c r="O138" s="12"/>
      <c r="P138" s="12"/>
      <c r="Q138" s="12"/>
      <c r="R138" s="12"/>
      <c r="S138" s="12"/>
      <c r="T138" s="12"/>
      <c r="U138" s="12">
        <v>150</v>
      </c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3">
        <f>H138+I138+J138+K138+M138-N138</f>
        <v>150</v>
      </c>
      <c r="AG138" s="13">
        <f>SUM(O138:AE138)</f>
        <v>150</v>
      </c>
      <c r="AH138" s="13">
        <f>AF138-AG138</f>
        <v>0</v>
      </c>
      <c r="AI138" s="12"/>
      <c r="AJ138" s="12"/>
      <c r="AK138" s="12"/>
    </row>
    <row r="139" spans="1:37">
      <c r="A139" s="16">
        <v>30</v>
      </c>
      <c r="B139" s="16">
        <v>2034</v>
      </c>
      <c r="C139" s="16" t="s">
        <v>166</v>
      </c>
      <c r="D139" s="16" t="s">
        <v>28</v>
      </c>
      <c r="E139" s="16"/>
      <c r="F139" s="12" t="s">
        <v>98</v>
      </c>
      <c r="G139" s="12" t="s">
        <v>62</v>
      </c>
      <c r="H139" s="9"/>
      <c r="I139" s="12"/>
      <c r="J139" s="12">
        <v>150</v>
      </c>
      <c r="K139" s="12"/>
      <c r="L139" s="12">
        <v>10067</v>
      </c>
      <c r="M139" s="11">
        <f>L139*4+AI139-AJ139</f>
        <v>40268</v>
      </c>
      <c r="N139" s="13"/>
      <c r="O139" s="12"/>
      <c r="P139" s="12"/>
      <c r="Q139" s="12"/>
      <c r="R139" s="12"/>
      <c r="S139" s="12">
        <v>10217</v>
      </c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3">
        <f>H139+I139+J139+K139+M139-N139</f>
        <v>40418</v>
      </c>
      <c r="AG139" s="13">
        <f>SUM(O139:AE139)</f>
        <v>10217</v>
      </c>
      <c r="AH139" s="13">
        <f>AF139-AG139</f>
        <v>30201</v>
      </c>
      <c r="AI139" s="12"/>
      <c r="AJ139" s="12"/>
      <c r="AK139" s="12"/>
    </row>
    <row r="140" spans="1:37">
      <c r="A140" s="16">
        <v>31</v>
      </c>
      <c r="B140" s="16">
        <v>1999</v>
      </c>
      <c r="C140" s="12" t="s">
        <v>167</v>
      </c>
      <c r="D140" s="16" t="s">
        <v>23</v>
      </c>
      <c r="E140" s="16"/>
      <c r="F140" s="12" t="s">
        <v>98</v>
      </c>
      <c r="G140" s="12" t="s">
        <v>62</v>
      </c>
      <c r="H140" s="9"/>
      <c r="I140" s="12"/>
      <c r="J140" s="12">
        <v>150</v>
      </c>
      <c r="K140" s="12"/>
      <c r="L140" s="12">
        <v>10067</v>
      </c>
      <c r="M140" s="11">
        <f>L140*4+AI140-AJ140</f>
        <v>40268</v>
      </c>
      <c r="N140" s="13"/>
      <c r="O140" s="12"/>
      <c r="P140" s="12"/>
      <c r="Q140" s="12"/>
      <c r="R140" s="12"/>
      <c r="S140" s="12">
        <v>10217</v>
      </c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3">
        <f>H140+I140+J140+K140+M140-N140</f>
        <v>40418</v>
      </c>
      <c r="AG140" s="13">
        <f>SUM(O140:AE140)</f>
        <v>10217</v>
      </c>
      <c r="AH140" s="13">
        <f>AF140-AG140</f>
        <v>30201</v>
      </c>
      <c r="AI140" s="12"/>
      <c r="AJ140" s="12"/>
      <c r="AK140" s="12"/>
    </row>
    <row r="141" spans="1:37">
      <c r="A141" s="16">
        <v>32</v>
      </c>
      <c r="B141" s="16">
        <v>1998</v>
      </c>
      <c r="C141" s="12" t="s">
        <v>168</v>
      </c>
      <c r="D141" s="16" t="s">
        <v>28</v>
      </c>
      <c r="E141" s="16"/>
      <c r="F141" s="12" t="s">
        <v>98</v>
      </c>
      <c r="G141" s="12" t="s">
        <v>62</v>
      </c>
      <c r="H141" s="9"/>
      <c r="I141" s="12"/>
      <c r="J141" s="12">
        <v>150</v>
      </c>
      <c r="K141" s="12"/>
      <c r="L141" s="12">
        <v>10067</v>
      </c>
      <c r="M141" s="11">
        <f>L141*4+AI141-AJ141</f>
        <v>40268</v>
      </c>
      <c r="N141" s="13"/>
      <c r="O141" s="12"/>
      <c r="P141" s="12"/>
      <c r="Q141" s="12"/>
      <c r="R141" s="12"/>
      <c r="S141" s="12">
        <v>10217</v>
      </c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3">
        <f>H141+I141+J141+K141+M141-N141</f>
        <v>40418</v>
      </c>
      <c r="AG141" s="13">
        <f>SUM(O141:AE141)</f>
        <v>10217</v>
      </c>
      <c r="AH141" s="13">
        <f>AF141-AG141</f>
        <v>30201</v>
      </c>
      <c r="AI141" s="12"/>
      <c r="AJ141" s="12"/>
      <c r="AK141" s="12"/>
    </row>
    <row r="142" spans="1:37">
      <c r="A142" s="16">
        <v>33</v>
      </c>
      <c r="B142" s="16">
        <v>2014</v>
      </c>
      <c r="C142" s="16" t="s">
        <v>169</v>
      </c>
      <c r="D142" s="16" t="s">
        <v>28</v>
      </c>
      <c r="E142" s="16"/>
      <c r="F142" s="12" t="s">
        <v>98</v>
      </c>
      <c r="G142" s="12" t="s">
        <v>62</v>
      </c>
      <c r="H142" s="9"/>
      <c r="I142" s="12"/>
      <c r="J142" s="12">
        <v>150</v>
      </c>
      <c r="K142" s="12"/>
      <c r="L142" s="12">
        <v>10067</v>
      </c>
      <c r="M142" s="11">
        <f>L142*4+AI142-AJ142</f>
        <v>40268</v>
      </c>
      <c r="N142" s="13"/>
      <c r="O142" s="12"/>
      <c r="P142" s="12"/>
      <c r="Q142" s="12"/>
      <c r="R142" s="12"/>
      <c r="S142" s="12">
        <v>10217</v>
      </c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3">
        <f>H142+I142+J142+K142+M142-N142</f>
        <v>40418</v>
      </c>
      <c r="AG142" s="13">
        <f>SUM(O142:AE142)</f>
        <v>10217</v>
      </c>
      <c r="AH142" s="13">
        <f>AF142-AG142</f>
        <v>30201</v>
      </c>
      <c r="AI142" s="12"/>
      <c r="AJ142" s="12"/>
      <c r="AK142" s="12"/>
    </row>
    <row r="143" spans="1:37">
      <c r="A143" s="16">
        <v>34</v>
      </c>
      <c r="B143" s="16">
        <v>2016</v>
      </c>
      <c r="C143" s="16" t="s">
        <v>170</v>
      </c>
      <c r="D143" s="16" t="s">
        <v>28</v>
      </c>
      <c r="E143" s="16"/>
      <c r="F143" s="12" t="s">
        <v>98</v>
      </c>
      <c r="G143" s="12" t="s">
        <v>62</v>
      </c>
      <c r="H143" s="9"/>
      <c r="I143" s="12"/>
      <c r="J143" s="12">
        <v>150</v>
      </c>
      <c r="K143" s="12"/>
      <c r="L143" s="12">
        <v>10067</v>
      </c>
      <c r="M143" s="11">
        <f>L143*4+AI143-AJ143</f>
        <v>40268</v>
      </c>
      <c r="N143" s="13"/>
      <c r="O143" s="12"/>
      <c r="P143" s="12"/>
      <c r="Q143" s="12"/>
      <c r="R143" s="12"/>
      <c r="S143" s="12"/>
      <c r="T143" s="12">
        <v>10217</v>
      </c>
      <c r="U143" s="12"/>
      <c r="V143" s="12">
        <v>10067</v>
      </c>
      <c r="W143" s="12"/>
      <c r="X143" s="12"/>
      <c r="Y143" s="12"/>
      <c r="Z143" s="12"/>
      <c r="AA143" s="12"/>
      <c r="AB143" s="12"/>
      <c r="AC143" s="12"/>
      <c r="AD143" s="12"/>
      <c r="AE143" s="12"/>
      <c r="AF143" s="13">
        <f>H143+I143+J143+K143+M143-N143</f>
        <v>40418</v>
      </c>
      <c r="AG143" s="13">
        <f>SUM(O143:AE143)</f>
        <v>20284</v>
      </c>
      <c r="AH143" s="13">
        <f>AF143-AG143</f>
        <v>20134</v>
      </c>
      <c r="AI143" s="12"/>
      <c r="AJ143" s="12"/>
      <c r="AK143" s="12"/>
    </row>
    <row r="144" spans="1:37">
      <c r="A144" s="16">
        <v>35</v>
      </c>
      <c r="B144" s="16">
        <v>2026</v>
      </c>
      <c r="C144" s="16" t="s">
        <v>171</v>
      </c>
      <c r="D144" s="16" t="s">
        <v>23</v>
      </c>
      <c r="E144" s="16"/>
      <c r="F144" s="12" t="s">
        <v>98</v>
      </c>
      <c r="G144" s="12" t="s">
        <v>62</v>
      </c>
      <c r="H144" s="9"/>
      <c r="I144" s="12"/>
      <c r="J144" s="12">
        <v>150</v>
      </c>
      <c r="K144" s="12"/>
      <c r="L144" s="12">
        <v>10067</v>
      </c>
      <c r="M144" s="11">
        <f>L144*4+AI144-AJ144</f>
        <v>40268</v>
      </c>
      <c r="N144" s="13"/>
      <c r="O144" s="12"/>
      <c r="P144" s="12"/>
      <c r="Q144" s="12"/>
      <c r="R144" s="12"/>
      <c r="S144" s="12">
        <v>10217</v>
      </c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3">
        <f>H144+I144+J144+K144+M144-N144</f>
        <v>40418</v>
      </c>
      <c r="AG144" s="13">
        <f>SUM(O144:AE144)</f>
        <v>10217</v>
      </c>
      <c r="AH144" s="13">
        <f>AF144-AG144</f>
        <v>30201</v>
      </c>
      <c r="AI144" s="12"/>
      <c r="AJ144" s="12"/>
      <c r="AK144" s="12"/>
    </row>
    <row r="145" spans="1:37">
      <c r="A145" s="16">
        <v>36</v>
      </c>
      <c r="B145" s="17">
        <v>2019</v>
      </c>
      <c r="C145" s="18" t="s">
        <v>172</v>
      </c>
      <c r="D145" s="17" t="s">
        <v>28</v>
      </c>
      <c r="E145" s="17"/>
      <c r="F145" s="18" t="s">
        <v>98</v>
      </c>
      <c r="G145" s="18" t="s">
        <v>62</v>
      </c>
      <c r="H145" s="9"/>
      <c r="I145" s="12"/>
      <c r="J145" s="12">
        <v>150</v>
      </c>
      <c r="K145" s="12"/>
      <c r="L145" s="12">
        <v>0</v>
      </c>
      <c r="M145" s="11">
        <f>L145*4+AI145-AJ145</f>
        <v>0</v>
      </c>
      <c r="N145" s="13"/>
      <c r="O145" s="12"/>
      <c r="P145" s="12"/>
      <c r="Q145" s="12"/>
      <c r="R145" s="12"/>
      <c r="S145" s="12"/>
      <c r="T145" s="12"/>
      <c r="U145" s="12"/>
      <c r="V145" s="12">
        <v>150</v>
      </c>
      <c r="W145" s="12"/>
      <c r="X145" s="12"/>
      <c r="Y145" s="12"/>
      <c r="Z145" s="12"/>
      <c r="AA145" s="12"/>
      <c r="AB145" s="12"/>
      <c r="AC145" s="12"/>
      <c r="AD145" s="12"/>
      <c r="AE145" s="12"/>
      <c r="AF145" s="13">
        <f>H145+I145+J145+K145+M145-N145</f>
        <v>150</v>
      </c>
      <c r="AG145" s="13">
        <f>SUM(O145:AE145)</f>
        <v>150</v>
      </c>
      <c r="AH145" s="13">
        <f>AF145-AG145</f>
        <v>0</v>
      </c>
      <c r="AI145" s="12"/>
      <c r="AJ145" s="12"/>
      <c r="AK145" s="12"/>
    </row>
    <row r="146" spans="1:37">
      <c r="A146" s="16">
        <v>37</v>
      </c>
      <c r="B146" s="16">
        <v>2105</v>
      </c>
      <c r="C146" s="16" t="s">
        <v>173</v>
      </c>
      <c r="D146" s="16" t="s">
        <v>28</v>
      </c>
      <c r="E146" s="16"/>
      <c r="F146" s="12" t="s">
        <v>98</v>
      </c>
      <c r="G146" s="12" t="s">
        <v>62</v>
      </c>
      <c r="H146" s="9"/>
      <c r="I146" s="12"/>
      <c r="J146" s="12">
        <v>150</v>
      </c>
      <c r="K146" s="12"/>
      <c r="L146" s="12">
        <v>10067</v>
      </c>
      <c r="M146" s="11">
        <f>L146*4+AI146-AJ146</f>
        <v>40268</v>
      </c>
      <c r="N146" s="13"/>
      <c r="O146" s="12"/>
      <c r="P146" s="12"/>
      <c r="Q146" s="12"/>
      <c r="R146" s="12"/>
      <c r="S146" s="12"/>
      <c r="T146" s="12">
        <v>10217</v>
      </c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3">
        <f>H146+I146+J146+K146+M146-N146</f>
        <v>40418</v>
      </c>
      <c r="AG146" s="13">
        <f>SUM(O146:AE146)</f>
        <v>10217</v>
      </c>
      <c r="AH146" s="13">
        <f>AF146-AG146</f>
        <v>30201</v>
      </c>
      <c r="AI146" s="12"/>
      <c r="AJ146" s="12"/>
      <c r="AK146" s="12"/>
    </row>
    <row r="147" spans="1:37">
      <c r="A147" s="16">
        <v>38</v>
      </c>
      <c r="B147" s="16">
        <v>2032</v>
      </c>
      <c r="C147" s="16" t="s">
        <v>174</v>
      </c>
      <c r="D147" s="16" t="s">
        <v>28</v>
      </c>
      <c r="E147" s="16"/>
      <c r="F147" s="12" t="s">
        <v>98</v>
      </c>
      <c r="G147" s="12" t="s">
        <v>62</v>
      </c>
      <c r="H147" s="9"/>
      <c r="I147" s="12"/>
      <c r="J147" s="12">
        <v>150</v>
      </c>
      <c r="K147" s="12"/>
      <c r="L147" s="12">
        <v>10067</v>
      </c>
      <c r="M147" s="11">
        <f>L147*4+AI147-AJ147</f>
        <v>40268</v>
      </c>
      <c r="N147" s="13"/>
      <c r="O147" s="12"/>
      <c r="P147" s="12"/>
      <c r="Q147" s="12"/>
      <c r="R147" s="12"/>
      <c r="S147" s="12">
        <v>10217</v>
      </c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3">
        <f>H147+I147+J147+K147+M147-N147</f>
        <v>40418</v>
      </c>
      <c r="AG147" s="13">
        <f>SUM(O147:AE147)</f>
        <v>10217</v>
      </c>
      <c r="AH147" s="13">
        <f>AF147-AG147</f>
        <v>30201</v>
      </c>
      <c r="AI147" s="12"/>
      <c r="AJ147" s="12"/>
      <c r="AK147" s="12"/>
    </row>
    <row r="148" spans="1:37">
      <c r="A148" s="16">
        <v>39</v>
      </c>
      <c r="B148" s="16">
        <v>2064</v>
      </c>
      <c r="C148" s="16" t="s">
        <v>175</v>
      </c>
      <c r="D148" s="16" t="s">
        <v>23</v>
      </c>
      <c r="E148" s="16"/>
      <c r="F148" s="12" t="s">
        <v>98</v>
      </c>
      <c r="G148" s="12" t="s">
        <v>62</v>
      </c>
      <c r="H148" s="9"/>
      <c r="I148" s="12"/>
      <c r="J148" s="12">
        <v>150</v>
      </c>
      <c r="K148" s="12"/>
      <c r="L148" s="12">
        <v>10067</v>
      </c>
      <c r="M148" s="11">
        <f>L148*4+AI148-AJ148</f>
        <v>40268</v>
      </c>
      <c r="N148" s="13"/>
      <c r="O148" s="12"/>
      <c r="P148" s="12"/>
      <c r="Q148" s="12"/>
      <c r="R148" s="12"/>
      <c r="S148" s="12">
        <v>10217</v>
      </c>
      <c r="T148" s="12"/>
      <c r="U148" s="12"/>
      <c r="V148" s="12">
        <v>10067</v>
      </c>
      <c r="W148" s="12"/>
      <c r="X148" s="12"/>
      <c r="Y148" s="12"/>
      <c r="Z148" s="12"/>
      <c r="AA148" s="12"/>
      <c r="AB148" s="12"/>
      <c r="AC148" s="12"/>
      <c r="AD148" s="12"/>
      <c r="AE148" s="12"/>
      <c r="AF148" s="13">
        <f>H148+I148+J148+K148+M148-N148</f>
        <v>40418</v>
      </c>
      <c r="AG148" s="13">
        <f>SUM(O148:AE148)</f>
        <v>20284</v>
      </c>
      <c r="AH148" s="13">
        <f>AF148-AG148</f>
        <v>20134</v>
      </c>
      <c r="AI148" s="12"/>
      <c r="AJ148" s="12"/>
      <c r="AK148" s="12"/>
    </row>
    <row r="149" spans="1:37">
      <c r="A149" s="16">
        <v>1</v>
      </c>
      <c r="B149" s="16">
        <v>1824</v>
      </c>
      <c r="C149" s="16" t="s">
        <v>176</v>
      </c>
      <c r="D149" s="16" t="s">
        <v>23</v>
      </c>
      <c r="E149" s="16"/>
      <c r="F149" s="12" t="s">
        <v>177</v>
      </c>
      <c r="G149" s="9" t="s">
        <v>26</v>
      </c>
      <c r="H149" s="9"/>
      <c r="I149" s="12"/>
      <c r="J149" s="12">
        <v>150</v>
      </c>
      <c r="K149" s="12"/>
      <c r="L149" s="12">
        <v>10067</v>
      </c>
      <c r="M149" s="11">
        <f>L149*4+AI149-AJ149</f>
        <v>40268</v>
      </c>
      <c r="N149" s="13"/>
      <c r="O149" s="12"/>
      <c r="P149" s="12"/>
      <c r="Q149" s="12"/>
      <c r="R149" s="12"/>
      <c r="S149" s="13"/>
      <c r="T149" s="12"/>
      <c r="U149" s="12">
        <v>10217</v>
      </c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3">
        <f>H149+I149+J149+K149+M149-N149</f>
        <v>40418</v>
      </c>
      <c r="AG149" s="13">
        <f>SUM(O149:AE149)</f>
        <v>10217</v>
      </c>
      <c r="AH149" s="13">
        <f>AF149-AG149</f>
        <v>30201</v>
      </c>
      <c r="AI149" s="12"/>
      <c r="AJ149" s="12"/>
      <c r="AK149" s="12"/>
    </row>
    <row r="150" spans="1:37">
      <c r="A150" s="16">
        <v>2</v>
      </c>
      <c r="B150" s="16">
        <v>1816</v>
      </c>
      <c r="C150" s="16" t="s">
        <v>178</v>
      </c>
      <c r="D150" s="16" t="s">
        <v>28</v>
      </c>
      <c r="E150" s="16"/>
      <c r="F150" s="12" t="s">
        <v>177</v>
      </c>
      <c r="G150" s="9" t="s">
        <v>26</v>
      </c>
      <c r="H150" s="9"/>
      <c r="I150" s="12"/>
      <c r="J150" s="12">
        <v>150</v>
      </c>
      <c r="K150" s="12"/>
      <c r="L150" s="12">
        <v>10067</v>
      </c>
      <c r="M150" s="11">
        <f>L150*4+AI150-AJ150</f>
        <v>40268</v>
      </c>
      <c r="N150" s="13"/>
      <c r="O150" s="12"/>
      <c r="P150" s="12"/>
      <c r="Q150" s="12"/>
      <c r="R150" s="12"/>
      <c r="S150" s="12">
        <v>10217</v>
      </c>
      <c r="T150" s="12"/>
      <c r="U150" s="12"/>
      <c r="V150" s="12">
        <v>10067</v>
      </c>
      <c r="W150" s="12"/>
      <c r="X150" s="12"/>
      <c r="Y150" s="12"/>
      <c r="Z150" s="12"/>
      <c r="AA150" s="12"/>
      <c r="AB150" s="12"/>
      <c r="AC150" s="12"/>
      <c r="AD150" s="12"/>
      <c r="AE150" s="12"/>
      <c r="AF150" s="13">
        <f>H150+I150+J150+K150+M150-N150</f>
        <v>40418</v>
      </c>
      <c r="AG150" s="13">
        <f>SUM(O150:AE150)</f>
        <v>20284</v>
      </c>
      <c r="AH150" s="13">
        <f>AF150-AG150</f>
        <v>20134</v>
      </c>
      <c r="AI150" s="12"/>
      <c r="AJ150" s="12"/>
      <c r="AK150" s="12"/>
    </row>
    <row r="151" spans="1:37">
      <c r="A151" s="16">
        <v>3</v>
      </c>
      <c r="B151" s="16">
        <v>1839</v>
      </c>
      <c r="C151" s="16" t="s">
        <v>179</v>
      </c>
      <c r="D151" s="16" t="s">
        <v>23</v>
      </c>
      <c r="E151" s="16"/>
      <c r="F151" s="12" t="s">
        <v>177</v>
      </c>
      <c r="G151" s="9" t="s">
        <v>26</v>
      </c>
      <c r="H151" s="9"/>
      <c r="I151" s="12"/>
      <c r="J151" s="12">
        <v>150</v>
      </c>
      <c r="K151" s="12"/>
      <c r="L151" s="12">
        <v>10067</v>
      </c>
      <c r="M151" s="11">
        <f>L151*4+AI151-AJ151</f>
        <v>40268</v>
      </c>
      <c r="N151" s="13"/>
      <c r="O151" s="12"/>
      <c r="P151" s="12"/>
      <c r="Q151" s="12"/>
      <c r="R151" s="12"/>
      <c r="S151" s="12"/>
      <c r="T151" s="11">
        <f>2000+8217</f>
        <v>10217</v>
      </c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3">
        <f>H151+I151+J151+K151+M151-N151</f>
        <v>40418</v>
      </c>
      <c r="AG151" s="13">
        <f>SUM(O151:AE151)</f>
        <v>10217</v>
      </c>
      <c r="AH151" s="13">
        <f>AF151-AG151</f>
        <v>30201</v>
      </c>
      <c r="AI151" s="12"/>
      <c r="AJ151" s="12"/>
      <c r="AK151" s="12"/>
    </row>
    <row r="152" spans="1:37">
      <c r="A152" s="16">
        <v>4</v>
      </c>
      <c r="B152" s="16">
        <v>1814</v>
      </c>
      <c r="C152" s="16" t="s">
        <v>180</v>
      </c>
      <c r="D152" s="16" t="s">
        <v>28</v>
      </c>
      <c r="E152" s="16"/>
      <c r="F152" s="12" t="s">
        <v>177</v>
      </c>
      <c r="G152" s="9" t="s">
        <v>26</v>
      </c>
      <c r="H152" s="9"/>
      <c r="I152" s="12"/>
      <c r="J152" s="12">
        <v>150</v>
      </c>
      <c r="K152" s="12"/>
      <c r="L152" s="12">
        <v>10067</v>
      </c>
      <c r="M152" s="11">
        <f>L152*4+AI152-AJ152</f>
        <v>40268</v>
      </c>
      <c r="N152" s="13">
        <v>2013</v>
      </c>
      <c r="O152" s="12"/>
      <c r="P152" s="12"/>
      <c r="Q152" s="12"/>
      <c r="R152" s="12"/>
      <c r="S152" s="12">
        <v>38405</v>
      </c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3">
        <f>H152+I152+J152+K152+M152-N152</f>
        <v>38405</v>
      </c>
      <c r="AG152" s="13">
        <f>SUM(O152:AE152)</f>
        <v>38405</v>
      </c>
      <c r="AH152" s="13">
        <f>AF152-AG152</f>
        <v>0</v>
      </c>
      <c r="AI152" s="12"/>
      <c r="AJ152" s="12"/>
      <c r="AK152" s="12"/>
    </row>
    <row r="153" spans="1:37">
      <c r="A153" s="16">
        <v>5</v>
      </c>
      <c r="B153" s="17">
        <v>2052</v>
      </c>
      <c r="C153" s="17" t="s">
        <v>181</v>
      </c>
      <c r="D153" s="17" t="s">
        <v>28</v>
      </c>
      <c r="E153" s="17"/>
      <c r="F153" s="18" t="s">
        <v>177</v>
      </c>
      <c r="G153" s="18" t="s">
        <v>26</v>
      </c>
      <c r="H153" s="9"/>
      <c r="I153" s="12"/>
      <c r="J153" s="12">
        <v>150</v>
      </c>
      <c r="K153" s="12"/>
      <c r="L153" s="12">
        <v>0</v>
      </c>
      <c r="M153" s="11">
        <f>L153*4+AI153-AJ153</f>
        <v>0</v>
      </c>
      <c r="N153" s="13"/>
      <c r="O153" s="12"/>
      <c r="P153" s="12"/>
      <c r="Q153" s="12"/>
      <c r="R153" s="12"/>
      <c r="S153" s="12"/>
      <c r="T153" s="12">
        <v>150</v>
      </c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3">
        <f>H153+I153+J153+K153+M153-N153</f>
        <v>150</v>
      </c>
      <c r="AG153" s="13">
        <f>SUM(O153:AE153)</f>
        <v>150</v>
      </c>
      <c r="AH153" s="13">
        <f>AF153-AG153</f>
        <v>0</v>
      </c>
      <c r="AI153" s="12"/>
      <c r="AJ153" s="12"/>
      <c r="AK153" s="12"/>
    </row>
    <row r="154" spans="1:37">
      <c r="A154" s="16">
        <v>6</v>
      </c>
      <c r="B154" s="14">
        <v>2228</v>
      </c>
      <c r="C154" s="14" t="s">
        <v>182</v>
      </c>
      <c r="D154" s="14" t="s">
        <v>28</v>
      </c>
      <c r="E154" s="14" t="s">
        <v>24</v>
      </c>
      <c r="F154" s="15" t="s">
        <v>177</v>
      </c>
      <c r="G154" s="15" t="s">
        <v>26</v>
      </c>
      <c r="H154" s="9"/>
      <c r="I154" s="12">
        <v>1200</v>
      </c>
      <c r="J154" s="12">
        <v>0</v>
      </c>
      <c r="K154" s="12"/>
      <c r="L154" s="12">
        <v>0</v>
      </c>
      <c r="M154" s="11">
        <f>L154*4+AI154-AJ154</f>
        <v>0</v>
      </c>
      <c r="N154" s="13"/>
      <c r="O154" s="12">
        <v>0</v>
      </c>
      <c r="P154" s="12">
        <v>1200</v>
      </c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3">
        <f>H154+I154+J154+K154+M154-N154</f>
        <v>1200</v>
      </c>
      <c r="AG154" s="13">
        <f>SUM(O154:AE154)</f>
        <v>1200</v>
      </c>
      <c r="AH154" s="13">
        <f>AF154-AG154</f>
        <v>0</v>
      </c>
      <c r="AI154" s="12"/>
      <c r="AJ154" s="12"/>
      <c r="AK154" s="12"/>
    </row>
    <row r="155" spans="1:37">
      <c r="A155" s="16">
        <v>7</v>
      </c>
      <c r="B155" s="16">
        <v>2061</v>
      </c>
      <c r="C155" s="16" t="s">
        <v>183</v>
      </c>
      <c r="D155" s="16" t="s">
        <v>28</v>
      </c>
      <c r="E155" s="16"/>
      <c r="F155" s="12" t="s">
        <v>177</v>
      </c>
      <c r="G155" s="12" t="s">
        <v>26</v>
      </c>
      <c r="H155" s="9"/>
      <c r="I155" s="12"/>
      <c r="J155" s="12">
        <v>150</v>
      </c>
      <c r="K155" s="12"/>
      <c r="L155" s="12">
        <v>10067</v>
      </c>
      <c r="M155" s="11">
        <f>L155*4+AI155-AJ155</f>
        <v>40268</v>
      </c>
      <c r="N155" s="13"/>
      <c r="O155" s="9"/>
      <c r="P155" s="12"/>
      <c r="Q155" s="12"/>
      <c r="R155" s="12"/>
      <c r="S155" s="12">
        <v>10217</v>
      </c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3">
        <f>H155+I155+J155+K155+M155-N155</f>
        <v>40418</v>
      </c>
      <c r="AG155" s="13">
        <f>SUM(O155:AE155)</f>
        <v>10217</v>
      </c>
      <c r="AH155" s="13">
        <f>AF155-AG155</f>
        <v>30201</v>
      </c>
      <c r="AI155" s="12"/>
      <c r="AJ155" s="12"/>
      <c r="AK155" s="12"/>
    </row>
    <row r="156" spans="1:37">
      <c r="A156" s="16">
        <v>8</v>
      </c>
      <c r="B156" s="16">
        <v>1877</v>
      </c>
      <c r="C156" s="16" t="s">
        <v>184</v>
      </c>
      <c r="D156" s="16" t="s">
        <v>28</v>
      </c>
      <c r="E156" s="16"/>
      <c r="F156" s="12" t="s">
        <v>177</v>
      </c>
      <c r="G156" s="12" t="s">
        <v>26</v>
      </c>
      <c r="H156" s="9"/>
      <c r="I156" s="12"/>
      <c r="J156" s="12">
        <v>150</v>
      </c>
      <c r="K156" s="12"/>
      <c r="L156" s="12">
        <v>10067</v>
      </c>
      <c r="M156" s="11">
        <f>L156*4+AI156-AJ156</f>
        <v>40268</v>
      </c>
      <c r="N156" s="13">
        <v>2013</v>
      </c>
      <c r="O156" s="12"/>
      <c r="P156" s="12"/>
      <c r="Q156" s="12"/>
      <c r="R156" s="12"/>
      <c r="S156" s="12">
        <v>38405</v>
      </c>
      <c r="T156" s="12">
        <v>10217</v>
      </c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3">
        <f>H156+I156+J156+K156+M156-N156</f>
        <v>38405</v>
      </c>
      <c r="AG156" s="13">
        <f>SUM(O156:AE156)</f>
        <v>48622</v>
      </c>
      <c r="AH156" s="13">
        <f>AF156-AG156</f>
        <v>-10217</v>
      </c>
      <c r="AI156" s="12"/>
      <c r="AJ156" s="12"/>
      <c r="AK156" s="12"/>
    </row>
    <row r="157" spans="1:37">
      <c r="A157" s="16">
        <v>9</v>
      </c>
      <c r="B157" s="16">
        <v>1826</v>
      </c>
      <c r="C157" s="16" t="s">
        <v>185</v>
      </c>
      <c r="D157" s="16" t="s">
        <v>28</v>
      </c>
      <c r="E157" s="16"/>
      <c r="F157" s="12" t="s">
        <v>177</v>
      </c>
      <c r="G157" s="12" t="s">
        <v>26</v>
      </c>
      <c r="H157" s="9"/>
      <c r="I157" s="12"/>
      <c r="J157" s="12">
        <v>150</v>
      </c>
      <c r="K157" s="12"/>
      <c r="L157" s="12">
        <v>10067</v>
      </c>
      <c r="M157" s="11">
        <f>L157*4+AI157-AJ157</f>
        <v>40268</v>
      </c>
      <c r="N157" s="13">
        <v>2013</v>
      </c>
      <c r="O157" s="12"/>
      <c r="P157" s="12"/>
      <c r="Q157" s="12"/>
      <c r="R157" s="12"/>
      <c r="S157" s="12">
        <v>38405</v>
      </c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3">
        <f>H157+I157+J157+K157+M157-N157</f>
        <v>38405</v>
      </c>
      <c r="AG157" s="13">
        <f>SUM(O157:AE157)</f>
        <v>38405</v>
      </c>
      <c r="AH157" s="13">
        <f>AF157-AG157</f>
        <v>0</v>
      </c>
      <c r="AI157" s="12"/>
      <c r="AJ157" s="12"/>
      <c r="AK157" s="12"/>
    </row>
    <row r="158" spans="1:37">
      <c r="A158" s="16">
        <v>10</v>
      </c>
      <c r="B158" s="16">
        <v>2035</v>
      </c>
      <c r="C158" s="12" t="s">
        <v>186</v>
      </c>
      <c r="D158" s="16" t="s">
        <v>23</v>
      </c>
      <c r="E158" s="16"/>
      <c r="F158" s="12" t="s">
        <v>177</v>
      </c>
      <c r="G158" s="12" t="s">
        <v>26</v>
      </c>
      <c r="H158" s="9"/>
      <c r="I158" s="12"/>
      <c r="J158" s="12">
        <v>150</v>
      </c>
      <c r="K158" s="12"/>
      <c r="L158" s="12">
        <v>10067</v>
      </c>
      <c r="M158" s="11">
        <f>L158*4+AI158-AJ158</f>
        <v>40268</v>
      </c>
      <c r="N158" s="13">
        <v>2013</v>
      </c>
      <c r="O158" s="12"/>
      <c r="P158" s="12"/>
      <c r="Q158" s="12"/>
      <c r="R158" s="12"/>
      <c r="S158" s="12"/>
      <c r="T158" s="12">
        <v>38405</v>
      </c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3">
        <f>H158+I158+J158+K158+M158-N158</f>
        <v>38405</v>
      </c>
      <c r="AG158" s="13">
        <f>SUM(O158:AE158)</f>
        <v>38405</v>
      </c>
      <c r="AH158" s="13">
        <f>AF158-AG158</f>
        <v>0</v>
      </c>
      <c r="AI158" s="12"/>
      <c r="AJ158" s="12"/>
      <c r="AK158" s="12"/>
    </row>
    <row r="159" spans="1:37">
      <c r="A159" s="16">
        <v>11</v>
      </c>
      <c r="B159" s="16">
        <v>1842</v>
      </c>
      <c r="C159" s="16" t="s">
        <v>187</v>
      </c>
      <c r="D159" s="16" t="s">
        <v>28</v>
      </c>
      <c r="E159" s="16"/>
      <c r="F159" s="12" t="s">
        <v>177</v>
      </c>
      <c r="G159" s="9" t="s">
        <v>26</v>
      </c>
      <c r="H159" s="9"/>
      <c r="I159" s="12"/>
      <c r="J159" s="12">
        <v>150</v>
      </c>
      <c r="K159" s="12"/>
      <c r="L159" s="12">
        <v>10067</v>
      </c>
      <c r="M159" s="11">
        <f>L159*4+AI159-AJ159</f>
        <v>40268</v>
      </c>
      <c r="N159" s="13">
        <v>2013</v>
      </c>
      <c r="O159" s="12"/>
      <c r="P159" s="12"/>
      <c r="Q159" s="12"/>
      <c r="R159" s="12"/>
      <c r="S159" s="12"/>
      <c r="T159" s="12">
        <v>38405</v>
      </c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3">
        <f>H159+I159+J159+K159+M159-N159</f>
        <v>38405</v>
      </c>
      <c r="AG159" s="13">
        <f>SUM(O159:AE159)</f>
        <v>38405</v>
      </c>
      <c r="AH159" s="13">
        <f>AF159-AG159</f>
        <v>0</v>
      </c>
      <c r="AI159" s="12"/>
      <c r="AJ159" s="12"/>
      <c r="AK159" s="12"/>
    </row>
    <row r="160" spans="1:37">
      <c r="A160" s="16">
        <v>12</v>
      </c>
      <c r="B160" s="16">
        <v>1873</v>
      </c>
      <c r="C160" s="16" t="s">
        <v>188</v>
      </c>
      <c r="D160" s="16" t="s">
        <v>28</v>
      </c>
      <c r="E160" s="16"/>
      <c r="F160" s="12" t="s">
        <v>177</v>
      </c>
      <c r="G160" s="9" t="s">
        <v>26</v>
      </c>
      <c r="H160" s="9"/>
      <c r="I160" s="12"/>
      <c r="J160" s="12">
        <v>150</v>
      </c>
      <c r="K160" s="12"/>
      <c r="L160" s="12">
        <v>10067</v>
      </c>
      <c r="M160" s="11">
        <f>L160*4+AI160-AJ160</f>
        <v>40268</v>
      </c>
      <c r="N160" s="13">
        <v>2013</v>
      </c>
      <c r="O160" s="12"/>
      <c r="P160" s="12"/>
      <c r="Q160" s="12"/>
      <c r="R160" s="12"/>
      <c r="S160" s="12">
        <v>38405</v>
      </c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3">
        <f>H160+I160+J160+K160+M160-N160</f>
        <v>38405</v>
      </c>
      <c r="AG160" s="13">
        <f>SUM(O160:AE160)</f>
        <v>38405</v>
      </c>
      <c r="AH160" s="13">
        <f>AF160-AG160</f>
        <v>0</v>
      </c>
      <c r="AI160" s="12"/>
      <c r="AJ160" s="12"/>
      <c r="AK160" s="12"/>
    </row>
    <row r="161" spans="1:37">
      <c r="A161" s="16">
        <v>13</v>
      </c>
      <c r="B161" s="16">
        <v>1856</v>
      </c>
      <c r="C161" s="16" t="s">
        <v>189</v>
      </c>
      <c r="D161" s="16" t="s">
        <v>23</v>
      </c>
      <c r="E161" s="16"/>
      <c r="F161" s="12" t="s">
        <v>177</v>
      </c>
      <c r="G161" s="9" t="s">
        <v>26</v>
      </c>
      <c r="H161" s="9"/>
      <c r="I161" s="12"/>
      <c r="J161" s="12">
        <v>150</v>
      </c>
      <c r="K161" s="12"/>
      <c r="L161" s="12">
        <v>10067</v>
      </c>
      <c r="M161" s="11">
        <f>L161*4+AI161-AJ161</f>
        <v>40268</v>
      </c>
      <c r="N161" s="13"/>
      <c r="O161" s="12"/>
      <c r="P161" s="12"/>
      <c r="Q161" s="12"/>
      <c r="R161" s="12"/>
      <c r="S161" s="12"/>
      <c r="T161" s="12">
        <v>10217</v>
      </c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3">
        <f>H161+I161+J161+K161+M161-N161</f>
        <v>40418</v>
      </c>
      <c r="AG161" s="13">
        <f>SUM(O161:AE161)</f>
        <v>10217</v>
      </c>
      <c r="AH161" s="13">
        <f>AF161-AG161</f>
        <v>30201</v>
      </c>
      <c r="AI161" s="12"/>
      <c r="AJ161" s="12"/>
      <c r="AK161" s="12"/>
    </row>
    <row r="162" spans="1:37">
      <c r="A162" s="16">
        <v>14</v>
      </c>
      <c r="B162" s="16">
        <v>1867</v>
      </c>
      <c r="C162" s="16" t="s">
        <v>190</v>
      </c>
      <c r="D162" s="16" t="s">
        <v>23</v>
      </c>
      <c r="E162" s="16"/>
      <c r="F162" s="12" t="s">
        <v>177</v>
      </c>
      <c r="G162" s="9" t="s">
        <v>26</v>
      </c>
      <c r="H162" s="9"/>
      <c r="I162" s="12"/>
      <c r="J162" s="12">
        <v>150</v>
      </c>
      <c r="K162" s="12"/>
      <c r="L162" s="12">
        <v>10067</v>
      </c>
      <c r="M162" s="11">
        <f>L162*4+AI162-AJ162</f>
        <v>40268</v>
      </c>
      <c r="N162" s="13"/>
      <c r="O162" s="12"/>
      <c r="P162" s="12"/>
      <c r="Q162" s="12"/>
      <c r="R162" s="12">
        <v>40418</v>
      </c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3">
        <f>H162+I162+J162+K162+M162-N162</f>
        <v>40418</v>
      </c>
      <c r="AG162" s="13">
        <f>SUM(O162:AE162)</f>
        <v>40418</v>
      </c>
      <c r="AH162" s="13">
        <f>AF162-AG162</f>
        <v>0</v>
      </c>
      <c r="AI162" s="12"/>
      <c r="AJ162" s="12"/>
      <c r="AK162" s="12"/>
    </row>
    <row r="163" spans="1:37">
      <c r="A163" s="16">
        <v>15</v>
      </c>
      <c r="B163" s="16">
        <v>1855</v>
      </c>
      <c r="C163" s="16" t="s">
        <v>191</v>
      </c>
      <c r="D163" s="16" t="s">
        <v>28</v>
      </c>
      <c r="E163" s="16"/>
      <c r="F163" s="12" t="s">
        <v>177</v>
      </c>
      <c r="G163" s="9" t="s">
        <v>26</v>
      </c>
      <c r="H163" s="9"/>
      <c r="I163" s="12"/>
      <c r="J163" s="12">
        <v>150</v>
      </c>
      <c r="K163" s="12"/>
      <c r="L163" s="12">
        <v>10067</v>
      </c>
      <c r="M163" s="11">
        <f>L163*4+AI163-AJ163</f>
        <v>40268</v>
      </c>
      <c r="N163" s="13"/>
      <c r="O163" s="12"/>
      <c r="P163" s="12"/>
      <c r="Q163" s="12"/>
      <c r="R163" s="12"/>
      <c r="S163" s="12"/>
      <c r="T163" s="12">
        <v>10217</v>
      </c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3">
        <f>H163+I163+J163+K163+M163-N163</f>
        <v>40418</v>
      </c>
      <c r="AG163" s="13">
        <f>SUM(O163:AE163)</f>
        <v>10217</v>
      </c>
      <c r="AH163" s="13">
        <f>AF163-AG163</f>
        <v>30201</v>
      </c>
      <c r="AI163" s="12"/>
      <c r="AJ163" s="12"/>
      <c r="AK163" s="12"/>
    </row>
    <row r="164" spans="1:37">
      <c r="A164" s="16">
        <v>16</v>
      </c>
      <c r="B164" s="25">
        <v>2113</v>
      </c>
      <c r="C164" s="17" t="s">
        <v>192</v>
      </c>
      <c r="D164" s="17" t="s">
        <v>28</v>
      </c>
      <c r="E164" s="25"/>
      <c r="F164" s="18" t="s">
        <v>177</v>
      </c>
      <c r="G164" s="18" t="s">
        <v>26</v>
      </c>
      <c r="H164" s="9"/>
      <c r="I164" s="12"/>
      <c r="J164" s="12">
        <v>150</v>
      </c>
      <c r="K164" s="12"/>
      <c r="L164" s="12">
        <v>0</v>
      </c>
      <c r="M164" s="11">
        <f>L164*4+AI164-AJ164</f>
        <v>0</v>
      </c>
      <c r="N164" s="13"/>
      <c r="O164" s="12"/>
      <c r="P164" s="12"/>
      <c r="Q164" s="12"/>
      <c r="R164" s="12"/>
      <c r="S164" s="12"/>
      <c r="T164" s="12"/>
      <c r="U164" s="12"/>
      <c r="V164" s="12">
        <v>150</v>
      </c>
      <c r="W164" s="12"/>
      <c r="X164" s="12"/>
      <c r="Y164" s="12"/>
      <c r="Z164" s="12"/>
      <c r="AA164" s="12"/>
      <c r="AB164" s="12"/>
      <c r="AC164" s="12"/>
      <c r="AD164" s="12"/>
      <c r="AE164" s="12"/>
      <c r="AF164" s="13">
        <f>H164+I164+J164+K164+M164-N164</f>
        <v>150</v>
      </c>
      <c r="AG164" s="13">
        <f>SUM(O164:AE164)</f>
        <v>150</v>
      </c>
      <c r="AH164" s="13">
        <f>AF164-AG164</f>
        <v>0</v>
      </c>
      <c r="AI164" s="12"/>
      <c r="AJ164" s="12"/>
      <c r="AK164" s="12"/>
    </row>
    <row r="165" spans="1:37">
      <c r="A165" s="16">
        <v>17</v>
      </c>
      <c r="B165" s="16">
        <v>1871</v>
      </c>
      <c r="C165" s="16" t="s">
        <v>193</v>
      </c>
      <c r="D165" s="16" t="s">
        <v>28</v>
      </c>
      <c r="E165" s="16"/>
      <c r="F165" s="12" t="s">
        <v>177</v>
      </c>
      <c r="G165" s="9" t="s">
        <v>26</v>
      </c>
      <c r="H165" s="9"/>
      <c r="I165" s="12"/>
      <c r="J165" s="12">
        <v>150</v>
      </c>
      <c r="K165" s="12"/>
      <c r="L165" s="12">
        <v>10067</v>
      </c>
      <c r="M165" s="11">
        <f>L165*4+AI165-AJ165</f>
        <v>40268</v>
      </c>
      <c r="N165" s="13"/>
      <c r="O165" s="12"/>
      <c r="P165" s="12"/>
      <c r="Q165" s="12"/>
      <c r="R165" s="12"/>
      <c r="S165" s="12"/>
      <c r="T165" s="12">
        <v>10217</v>
      </c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3">
        <f>H165+I165+J165+K165+M165-N165</f>
        <v>40418</v>
      </c>
      <c r="AG165" s="13">
        <f>SUM(O165:AE165)</f>
        <v>10217</v>
      </c>
      <c r="AH165" s="13">
        <f>AF165-AG165</f>
        <v>30201</v>
      </c>
      <c r="AI165" s="12"/>
      <c r="AJ165" s="12"/>
      <c r="AK165" s="12"/>
    </row>
    <row r="166" spans="1:37">
      <c r="A166" s="16">
        <v>18</v>
      </c>
      <c r="B166" s="16">
        <v>1832</v>
      </c>
      <c r="C166" s="16" t="s">
        <v>194</v>
      </c>
      <c r="D166" s="16" t="s">
        <v>28</v>
      </c>
      <c r="E166" s="16"/>
      <c r="F166" s="12" t="s">
        <v>177</v>
      </c>
      <c r="G166" s="9" t="s">
        <v>26</v>
      </c>
      <c r="H166" s="9"/>
      <c r="I166" s="12"/>
      <c r="J166" s="12">
        <v>150</v>
      </c>
      <c r="K166" s="12"/>
      <c r="L166" s="12">
        <v>10067</v>
      </c>
      <c r="M166" s="11">
        <f>L166*4+AI166-AJ166</f>
        <v>40268</v>
      </c>
      <c r="N166" s="13"/>
      <c r="O166" s="12"/>
      <c r="P166" s="12"/>
      <c r="Q166" s="12"/>
      <c r="R166" s="12"/>
      <c r="S166" s="12"/>
      <c r="T166" s="12">
        <v>10217</v>
      </c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3">
        <f>H166+I166+J166+K166+M166-N166</f>
        <v>40418</v>
      </c>
      <c r="AG166" s="13">
        <f>SUM(O166:AE166)</f>
        <v>10217</v>
      </c>
      <c r="AH166" s="13">
        <f>AF166-AG166</f>
        <v>30201</v>
      </c>
      <c r="AI166" s="12"/>
      <c r="AJ166" s="12"/>
      <c r="AK166" s="12"/>
    </row>
    <row r="167" spans="1:37">
      <c r="A167" s="16">
        <v>19</v>
      </c>
      <c r="B167" s="16">
        <v>1862</v>
      </c>
      <c r="C167" s="16" t="s">
        <v>195</v>
      </c>
      <c r="D167" s="16" t="s">
        <v>23</v>
      </c>
      <c r="E167" s="16"/>
      <c r="F167" s="12" t="s">
        <v>177</v>
      </c>
      <c r="G167" s="9" t="s">
        <v>26</v>
      </c>
      <c r="H167" s="9"/>
      <c r="I167" s="12"/>
      <c r="J167" s="12">
        <v>150</v>
      </c>
      <c r="K167" s="12"/>
      <c r="L167" s="12">
        <v>10067</v>
      </c>
      <c r="M167" s="11">
        <f>L167*4+AI167-AJ167</f>
        <v>40268</v>
      </c>
      <c r="N167" s="13"/>
      <c r="O167" s="12"/>
      <c r="P167" s="12"/>
      <c r="Q167" s="12"/>
      <c r="R167" s="12"/>
      <c r="S167" s="12"/>
      <c r="T167" s="12"/>
      <c r="U167" s="12">
        <v>10217</v>
      </c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3">
        <f>H167+I167+J167+K167+M167-N167</f>
        <v>40418</v>
      </c>
      <c r="AG167" s="13">
        <f>SUM(O167:AE167)</f>
        <v>10217</v>
      </c>
      <c r="AH167" s="13">
        <f>AF167-AG167</f>
        <v>30201</v>
      </c>
      <c r="AI167" s="12"/>
      <c r="AJ167" s="12"/>
      <c r="AK167" s="12"/>
    </row>
    <row r="168" spans="1:37">
      <c r="A168" s="16">
        <v>20</v>
      </c>
      <c r="B168" s="16">
        <v>1820</v>
      </c>
      <c r="C168" s="16" t="s">
        <v>196</v>
      </c>
      <c r="D168" s="16" t="s">
        <v>28</v>
      </c>
      <c r="E168" s="16"/>
      <c r="F168" s="12" t="s">
        <v>177</v>
      </c>
      <c r="G168" s="9" t="s">
        <v>26</v>
      </c>
      <c r="H168" s="9"/>
      <c r="I168" s="12"/>
      <c r="J168" s="12">
        <v>150</v>
      </c>
      <c r="K168" s="12"/>
      <c r="L168" s="12">
        <v>10067</v>
      </c>
      <c r="M168" s="11">
        <f>L168*4+AI168-AJ168</f>
        <v>40268</v>
      </c>
      <c r="N168" s="13">
        <v>2013</v>
      </c>
      <c r="O168" s="12"/>
      <c r="P168" s="12"/>
      <c r="Q168" s="12"/>
      <c r="R168" s="12"/>
      <c r="S168" s="11">
        <f>2000+36405</f>
        <v>38405</v>
      </c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3">
        <f>H168+I168+J168+K168+M168-N168</f>
        <v>38405</v>
      </c>
      <c r="AG168" s="13">
        <f>SUM(O168:AE168)</f>
        <v>38405</v>
      </c>
      <c r="AH168" s="13">
        <f>AF168-AG168</f>
        <v>0</v>
      </c>
      <c r="AI168" s="12"/>
      <c r="AJ168" s="12"/>
      <c r="AK168" s="12"/>
    </row>
    <row r="169" spans="1:37">
      <c r="A169" s="16">
        <v>21</v>
      </c>
      <c r="B169" s="16">
        <v>1860</v>
      </c>
      <c r="C169" s="16" t="s">
        <v>197</v>
      </c>
      <c r="D169" s="16" t="s">
        <v>28</v>
      </c>
      <c r="E169" s="16"/>
      <c r="F169" s="12" t="s">
        <v>177</v>
      </c>
      <c r="G169" s="9" t="s">
        <v>26</v>
      </c>
      <c r="H169" s="9"/>
      <c r="I169" s="12"/>
      <c r="J169" s="12">
        <v>150</v>
      </c>
      <c r="K169" s="12"/>
      <c r="L169" s="12">
        <v>10067</v>
      </c>
      <c r="M169" s="11">
        <f>L169*4+AI169-AJ169</f>
        <v>40268</v>
      </c>
      <c r="N169" s="13"/>
      <c r="O169" s="12"/>
      <c r="P169" s="12"/>
      <c r="Q169" s="12"/>
      <c r="R169" s="12"/>
      <c r="S169" s="12"/>
      <c r="T169" s="12"/>
      <c r="U169" s="12"/>
      <c r="V169" s="12">
        <v>10217</v>
      </c>
      <c r="W169" s="12"/>
      <c r="X169" s="12"/>
      <c r="Y169" s="12"/>
      <c r="Z169" s="12"/>
      <c r="AA169" s="12"/>
      <c r="AB169" s="12"/>
      <c r="AC169" s="12"/>
      <c r="AD169" s="12"/>
      <c r="AE169" s="12"/>
      <c r="AF169" s="13">
        <f>H169+I169+J169+K169+M169-N169</f>
        <v>40418</v>
      </c>
      <c r="AG169" s="13">
        <f>SUM(O169:AE169)</f>
        <v>10217</v>
      </c>
      <c r="AH169" s="13">
        <f>AF169-AG169</f>
        <v>30201</v>
      </c>
      <c r="AI169" s="12"/>
      <c r="AJ169" s="12"/>
      <c r="AK169" s="12">
        <v>300</v>
      </c>
    </row>
    <row r="170" spans="1:37">
      <c r="A170" s="16">
        <v>22</v>
      </c>
      <c r="B170" s="16">
        <v>1960</v>
      </c>
      <c r="C170" s="16" t="s">
        <v>198</v>
      </c>
      <c r="D170" s="16" t="s">
        <v>23</v>
      </c>
      <c r="E170" s="16"/>
      <c r="F170" s="12" t="s">
        <v>177</v>
      </c>
      <c r="G170" s="12" t="s">
        <v>26</v>
      </c>
      <c r="H170" s="9"/>
      <c r="I170" s="12"/>
      <c r="J170" s="12">
        <v>150</v>
      </c>
      <c r="K170" s="12"/>
      <c r="L170" s="12">
        <v>10067</v>
      </c>
      <c r="M170" s="11">
        <f>L170*4+AI170-AJ170</f>
        <v>40268</v>
      </c>
      <c r="N170" s="13"/>
      <c r="O170" s="12"/>
      <c r="P170" s="12"/>
      <c r="Q170" s="12"/>
      <c r="R170" s="12"/>
      <c r="S170" s="12"/>
      <c r="T170" s="12">
        <v>10217</v>
      </c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3">
        <f>H170+I170+J170+K170+M170-N170</f>
        <v>40418</v>
      </c>
      <c r="AG170" s="13">
        <f>SUM(O170:AE170)</f>
        <v>10217</v>
      </c>
      <c r="AH170" s="13">
        <f>AF170-AG170</f>
        <v>30201</v>
      </c>
      <c r="AI170" s="12"/>
      <c r="AJ170" s="12"/>
      <c r="AK170" s="12"/>
    </row>
    <row r="171" spans="1:37">
      <c r="A171" s="16">
        <v>23</v>
      </c>
      <c r="B171" s="16">
        <v>1831</v>
      </c>
      <c r="C171" s="16" t="s">
        <v>199</v>
      </c>
      <c r="D171" s="16" t="s">
        <v>28</v>
      </c>
      <c r="E171" s="16"/>
      <c r="F171" s="12" t="s">
        <v>177</v>
      </c>
      <c r="G171" s="12" t="s">
        <v>26</v>
      </c>
      <c r="H171" s="9"/>
      <c r="I171" s="12"/>
      <c r="J171" s="12">
        <v>150</v>
      </c>
      <c r="K171" s="12"/>
      <c r="L171" s="12">
        <v>10067</v>
      </c>
      <c r="M171" s="11">
        <f>L171*4+AI171-AJ171</f>
        <v>40268</v>
      </c>
      <c r="N171" s="13">
        <v>2013</v>
      </c>
      <c r="O171" s="12"/>
      <c r="P171" s="12"/>
      <c r="Q171" s="12"/>
      <c r="R171" s="12"/>
      <c r="S171" s="12"/>
      <c r="T171" s="12">
        <v>38405</v>
      </c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3">
        <f>H171+I171+J171+K171+M171-N171</f>
        <v>38405</v>
      </c>
      <c r="AG171" s="13">
        <f>SUM(O171:AE171)</f>
        <v>38405</v>
      </c>
      <c r="AH171" s="13">
        <f>AF171-AG171</f>
        <v>0</v>
      </c>
      <c r="AI171" s="12"/>
      <c r="AJ171" s="12"/>
      <c r="AK171" s="12"/>
    </row>
    <row r="172" spans="1:37">
      <c r="A172" s="16">
        <v>24</v>
      </c>
      <c r="B172" s="16">
        <v>1957</v>
      </c>
      <c r="C172" s="16" t="s">
        <v>200</v>
      </c>
      <c r="D172" s="16" t="s">
        <v>28</v>
      </c>
      <c r="E172" s="16"/>
      <c r="F172" s="12" t="s">
        <v>177</v>
      </c>
      <c r="G172" s="12" t="s">
        <v>26</v>
      </c>
      <c r="H172" s="9"/>
      <c r="I172" s="12"/>
      <c r="J172" s="12">
        <v>150</v>
      </c>
      <c r="K172" s="12"/>
      <c r="L172" s="12">
        <v>10067</v>
      </c>
      <c r="M172" s="11">
        <f>L172*4+AI172-AJ172</f>
        <v>40268</v>
      </c>
      <c r="N172" s="13"/>
      <c r="O172" s="12"/>
      <c r="P172" s="12"/>
      <c r="Q172" s="12"/>
      <c r="R172" s="12"/>
      <c r="S172" s="12"/>
      <c r="T172" s="12"/>
      <c r="U172" s="12">
        <v>10217</v>
      </c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3">
        <f>H172+I172+J172+K172+M172-N172</f>
        <v>40418</v>
      </c>
      <c r="AG172" s="13">
        <f>SUM(O172:AE172)</f>
        <v>10217</v>
      </c>
      <c r="AH172" s="13">
        <f>AF172-AG172</f>
        <v>30201</v>
      </c>
      <c r="AI172" s="12"/>
      <c r="AJ172" s="12"/>
      <c r="AK172" s="12"/>
    </row>
    <row r="173" spans="1:37">
      <c r="A173" s="16">
        <v>25</v>
      </c>
      <c r="B173" s="16">
        <v>1837</v>
      </c>
      <c r="C173" s="16" t="s">
        <v>201</v>
      </c>
      <c r="D173" s="16" t="s">
        <v>28</v>
      </c>
      <c r="E173" s="16"/>
      <c r="F173" s="12" t="s">
        <v>177</v>
      </c>
      <c r="G173" s="12" t="s">
        <v>26</v>
      </c>
      <c r="H173" s="9"/>
      <c r="I173" s="12"/>
      <c r="J173" s="12">
        <v>150</v>
      </c>
      <c r="K173" s="12"/>
      <c r="L173" s="12">
        <v>10067</v>
      </c>
      <c r="M173" s="11">
        <f>L173*4+AI173-AJ173</f>
        <v>40268</v>
      </c>
      <c r="N173" s="13"/>
      <c r="O173" s="12"/>
      <c r="P173" s="12"/>
      <c r="Q173" s="12"/>
      <c r="R173" s="12"/>
      <c r="S173" s="12">
        <v>10217</v>
      </c>
      <c r="T173" s="12"/>
      <c r="U173" s="12"/>
      <c r="V173" s="12">
        <v>10067</v>
      </c>
      <c r="W173" s="12"/>
      <c r="X173" s="12"/>
      <c r="Y173" s="12"/>
      <c r="Z173" s="12"/>
      <c r="AA173" s="12"/>
      <c r="AB173" s="12"/>
      <c r="AC173" s="12"/>
      <c r="AD173" s="12"/>
      <c r="AE173" s="12"/>
      <c r="AF173" s="13">
        <f>H173+I173+J173+K173+M173-N173</f>
        <v>40418</v>
      </c>
      <c r="AG173" s="13">
        <f>SUM(O173:AE173)</f>
        <v>20284</v>
      </c>
      <c r="AH173" s="13">
        <f>AF173-AG173</f>
        <v>20134</v>
      </c>
      <c r="AI173" s="12"/>
      <c r="AJ173" s="12"/>
      <c r="AK173" s="12"/>
    </row>
    <row r="174" spans="1:37">
      <c r="A174" s="16">
        <v>26</v>
      </c>
      <c r="B174" s="16">
        <v>1907</v>
      </c>
      <c r="C174" s="16" t="s">
        <v>202</v>
      </c>
      <c r="D174" s="16" t="s">
        <v>28</v>
      </c>
      <c r="E174" s="16"/>
      <c r="F174" s="12" t="s">
        <v>177</v>
      </c>
      <c r="G174" s="12" t="s">
        <v>26</v>
      </c>
      <c r="H174" s="9"/>
      <c r="I174" s="12"/>
      <c r="J174" s="12">
        <v>150</v>
      </c>
      <c r="K174" s="12"/>
      <c r="L174" s="12">
        <v>10067</v>
      </c>
      <c r="M174" s="11">
        <f>L174*4+AI174-AJ174</f>
        <v>40268</v>
      </c>
      <c r="N174" s="13"/>
      <c r="O174" s="12"/>
      <c r="P174" s="12"/>
      <c r="Q174" s="12"/>
      <c r="R174" s="12"/>
      <c r="S174" s="12">
        <v>10217</v>
      </c>
      <c r="T174" s="12"/>
      <c r="U174" s="12"/>
      <c r="V174" s="12">
        <v>10217</v>
      </c>
      <c r="W174" s="12"/>
      <c r="X174" s="12"/>
      <c r="Y174" s="12"/>
      <c r="Z174" s="12"/>
      <c r="AA174" s="12"/>
      <c r="AB174" s="12"/>
      <c r="AC174" s="12"/>
      <c r="AD174" s="12"/>
      <c r="AE174" s="12"/>
      <c r="AF174" s="13">
        <f>H174+I174+J174+K174+M174-N174</f>
        <v>40418</v>
      </c>
      <c r="AG174" s="13">
        <f>SUM(O174:AE174)</f>
        <v>20434</v>
      </c>
      <c r="AH174" s="13">
        <f>AF174-AG174</f>
        <v>19984</v>
      </c>
      <c r="AI174" s="12"/>
      <c r="AJ174" s="12"/>
      <c r="AK174" s="12"/>
    </row>
    <row r="175" spans="1:37">
      <c r="A175" s="16">
        <v>27</v>
      </c>
      <c r="B175" s="16">
        <v>1865</v>
      </c>
      <c r="C175" s="16" t="s">
        <v>203</v>
      </c>
      <c r="D175" s="16" t="s">
        <v>28</v>
      </c>
      <c r="E175" s="16"/>
      <c r="F175" s="12" t="s">
        <v>177</v>
      </c>
      <c r="G175" s="12" t="s">
        <v>26</v>
      </c>
      <c r="H175" s="9"/>
      <c r="I175" s="12"/>
      <c r="J175" s="12">
        <v>150</v>
      </c>
      <c r="K175" s="12"/>
      <c r="L175" s="12">
        <v>10067</v>
      </c>
      <c r="M175" s="11">
        <f>L175*4+AI175-AJ175</f>
        <v>40268</v>
      </c>
      <c r="N175" s="13"/>
      <c r="O175" s="12"/>
      <c r="P175" s="12"/>
      <c r="Q175" s="12"/>
      <c r="R175" s="12"/>
      <c r="S175" s="12"/>
      <c r="T175" s="12">
        <v>10217</v>
      </c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3">
        <f>H175+I175+J175+K175+M175-N175</f>
        <v>40418</v>
      </c>
      <c r="AG175" s="13">
        <f>SUM(O175:AE175)</f>
        <v>10217</v>
      </c>
      <c r="AH175" s="13">
        <f>AF175-AG175</f>
        <v>30201</v>
      </c>
      <c r="AI175" s="12"/>
      <c r="AJ175" s="12"/>
      <c r="AK175" s="12"/>
    </row>
    <row r="176" spans="1:37">
      <c r="A176" s="16">
        <v>28</v>
      </c>
      <c r="B176" s="23">
        <v>2066</v>
      </c>
      <c r="C176" s="23" t="s">
        <v>204</v>
      </c>
      <c r="D176" s="23" t="s">
        <v>23</v>
      </c>
      <c r="E176" s="23"/>
      <c r="F176" s="24" t="s">
        <v>177</v>
      </c>
      <c r="G176" s="24" t="s">
        <v>26</v>
      </c>
      <c r="H176" s="9"/>
      <c r="I176" s="12"/>
      <c r="J176" s="12">
        <v>150</v>
      </c>
      <c r="K176" s="12"/>
      <c r="L176" s="12">
        <v>5034</v>
      </c>
      <c r="M176" s="11">
        <f>L176*4+AI176-AJ176</f>
        <v>20136</v>
      </c>
      <c r="N176" s="13"/>
      <c r="O176" s="9"/>
      <c r="P176" s="12"/>
      <c r="Q176" s="12"/>
      <c r="R176" s="12"/>
      <c r="S176" s="12"/>
      <c r="T176" s="12">
        <v>5184</v>
      </c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3">
        <f>H176+I176+J176+K176+M176-N176</f>
        <v>20286</v>
      </c>
      <c r="AG176" s="13">
        <f>SUM(O176:AE176)</f>
        <v>5184</v>
      </c>
      <c r="AH176" s="13">
        <f>AF176-AG176</f>
        <v>15102</v>
      </c>
      <c r="AI176" s="12"/>
      <c r="AJ176" s="12"/>
      <c r="AK176" s="12"/>
    </row>
    <row r="177" spans="1:37">
      <c r="A177" s="16">
        <v>29</v>
      </c>
      <c r="B177" s="16">
        <v>1851</v>
      </c>
      <c r="C177" s="16" t="s">
        <v>205</v>
      </c>
      <c r="D177" s="16" t="s">
        <v>28</v>
      </c>
      <c r="E177" s="16"/>
      <c r="F177" s="12" t="s">
        <v>177</v>
      </c>
      <c r="G177" s="12" t="s">
        <v>26</v>
      </c>
      <c r="H177" s="9"/>
      <c r="I177" s="12"/>
      <c r="J177" s="12">
        <v>150</v>
      </c>
      <c r="K177" s="12"/>
      <c r="L177" s="12">
        <v>10067</v>
      </c>
      <c r="M177" s="11">
        <f>L177*4+AI177-AJ177</f>
        <v>40268</v>
      </c>
      <c r="N177" s="13"/>
      <c r="O177" s="12"/>
      <c r="P177" s="12"/>
      <c r="Q177" s="12"/>
      <c r="R177" s="12"/>
      <c r="S177" s="12"/>
      <c r="T177" s="12">
        <v>10217</v>
      </c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3">
        <f>H177+I177+J177+K177+M177-N177</f>
        <v>40418</v>
      </c>
      <c r="AG177" s="13">
        <f>SUM(O177:AE177)</f>
        <v>10217</v>
      </c>
      <c r="AH177" s="13">
        <f>AF177-AG177</f>
        <v>30201</v>
      </c>
      <c r="AI177" s="12"/>
      <c r="AJ177" s="12"/>
      <c r="AK177" s="12"/>
    </row>
    <row r="178" spans="1:37">
      <c r="A178" s="16">
        <v>30</v>
      </c>
      <c r="B178" s="16">
        <v>1834</v>
      </c>
      <c r="C178" s="16" t="s">
        <v>206</v>
      </c>
      <c r="D178" s="16" t="s">
        <v>28</v>
      </c>
      <c r="E178" s="16"/>
      <c r="F178" s="12" t="s">
        <v>177</v>
      </c>
      <c r="G178" s="12" t="s">
        <v>26</v>
      </c>
      <c r="H178" s="9"/>
      <c r="I178" s="12"/>
      <c r="J178" s="12">
        <v>150</v>
      </c>
      <c r="K178" s="12"/>
      <c r="L178" s="12">
        <v>10067</v>
      </c>
      <c r="M178" s="11">
        <f>L178*4+AI178-AJ178</f>
        <v>40268</v>
      </c>
      <c r="N178" s="13"/>
      <c r="O178" s="12"/>
      <c r="P178" s="12"/>
      <c r="Q178" s="12"/>
      <c r="R178" s="12"/>
      <c r="S178" s="12">
        <v>10217</v>
      </c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3">
        <f>H178+I178+J178+K178+M178-N178</f>
        <v>40418</v>
      </c>
      <c r="AG178" s="13">
        <f>SUM(O178:AE178)</f>
        <v>10217</v>
      </c>
      <c r="AH178" s="13">
        <f>AF178-AG178</f>
        <v>30201</v>
      </c>
      <c r="AI178" s="12"/>
      <c r="AJ178" s="12"/>
      <c r="AK178" s="12"/>
    </row>
    <row r="179" spans="1:37">
      <c r="A179" s="16">
        <v>31</v>
      </c>
      <c r="B179" s="16">
        <v>1875</v>
      </c>
      <c r="C179" s="16" t="s">
        <v>207</v>
      </c>
      <c r="D179" s="16" t="s">
        <v>28</v>
      </c>
      <c r="E179" s="16"/>
      <c r="F179" s="12" t="s">
        <v>177</v>
      </c>
      <c r="G179" s="12" t="s">
        <v>26</v>
      </c>
      <c r="H179" s="9"/>
      <c r="I179" s="12"/>
      <c r="J179" s="12">
        <v>150</v>
      </c>
      <c r="K179" s="12"/>
      <c r="L179" s="12">
        <v>10067</v>
      </c>
      <c r="M179" s="11">
        <f>L179*4+AI179-AJ179</f>
        <v>40268</v>
      </c>
      <c r="N179" s="13"/>
      <c r="O179" s="12"/>
      <c r="P179" s="12"/>
      <c r="Q179" s="12"/>
      <c r="R179" s="12"/>
      <c r="S179" s="12"/>
      <c r="T179" s="12">
        <v>10217</v>
      </c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3">
        <f>H179+I179+J179+K179+M179-N179</f>
        <v>40418</v>
      </c>
      <c r="AG179" s="13">
        <f>SUM(O179:AE179)</f>
        <v>10217</v>
      </c>
      <c r="AH179" s="13">
        <f>AF179-AG179</f>
        <v>30201</v>
      </c>
      <c r="AI179" s="12"/>
      <c r="AJ179" s="12"/>
      <c r="AK179" s="12"/>
    </row>
    <row r="180" spans="1:37">
      <c r="A180" s="16">
        <v>32</v>
      </c>
      <c r="B180" s="16">
        <v>1836</v>
      </c>
      <c r="C180" s="16" t="s">
        <v>208</v>
      </c>
      <c r="D180" s="16" t="s">
        <v>23</v>
      </c>
      <c r="E180" s="16"/>
      <c r="F180" s="12" t="s">
        <v>177</v>
      </c>
      <c r="G180" s="12" t="s">
        <v>26</v>
      </c>
      <c r="H180" s="9"/>
      <c r="I180" s="12"/>
      <c r="J180" s="12">
        <v>150</v>
      </c>
      <c r="K180" s="12"/>
      <c r="L180" s="12">
        <v>10067</v>
      </c>
      <c r="M180" s="11">
        <f>L180*4+AI180-AJ180</f>
        <v>40268</v>
      </c>
      <c r="N180" s="13">
        <v>2013</v>
      </c>
      <c r="O180" s="12"/>
      <c r="P180" s="12"/>
      <c r="Q180" s="12"/>
      <c r="R180" s="12"/>
      <c r="S180" s="11">
        <f>36484+1921</f>
        <v>38405</v>
      </c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3">
        <f>H180+I180+J180+K180+M180-N180</f>
        <v>38405</v>
      </c>
      <c r="AG180" s="13">
        <f>SUM(O180:AE180)</f>
        <v>38405</v>
      </c>
      <c r="AH180" s="13">
        <f>AF180-AG180</f>
        <v>0</v>
      </c>
      <c r="AI180" s="12"/>
      <c r="AJ180" s="12"/>
      <c r="AK180" s="12"/>
    </row>
    <row r="181" spans="1:37">
      <c r="A181" s="16">
        <v>33</v>
      </c>
      <c r="B181" s="16">
        <v>1818</v>
      </c>
      <c r="C181" s="16" t="s">
        <v>209</v>
      </c>
      <c r="D181" s="16" t="s">
        <v>23</v>
      </c>
      <c r="E181" s="16"/>
      <c r="F181" s="12" t="s">
        <v>177</v>
      </c>
      <c r="G181" s="12" t="s">
        <v>26</v>
      </c>
      <c r="H181" s="9"/>
      <c r="I181" s="12"/>
      <c r="J181" s="12">
        <v>150</v>
      </c>
      <c r="K181" s="12"/>
      <c r="L181" s="12">
        <v>10067</v>
      </c>
      <c r="M181" s="11">
        <f>L181*4+AI181-AJ181</f>
        <v>31116</v>
      </c>
      <c r="N181" s="13"/>
      <c r="O181" s="12"/>
      <c r="P181" s="12"/>
      <c r="Q181" s="12"/>
      <c r="R181" s="12"/>
      <c r="S181" s="12"/>
      <c r="T181" s="12">
        <v>1065</v>
      </c>
      <c r="U181" s="12"/>
      <c r="V181" s="12">
        <v>10067</v>
      </c>
      <c r="W181" s="12"/>
      <c r="X181" s="12"/>
      <c r="Y181" s="12"/>
      <c r="Z181" s="12"/>
      <c r="AA181" s="12"/>
      <c r="AB181" s="12"/>
      <c r="AC181" s="12"/>
      <c r="AD181" s="12"/>
      <c r="AE181" s="12"/>
      <c r="AF181" s="13">
        <f>H181+I181+J181+K181+M181-N181</f>
        <v>31266</v>
      </c>
      <c r="AG181" s="13">
        <f>SUM(O181:AE181)</f>
        <v>11132</v>
      </c>
      <c r="AH181" s="13">
        <f>AF181-AG181</f>
        <v>20134</v>
      </c>
      <c r="AI181" s="12"/>
      <c r="AJ181" s="12">
        <v>9152</v>
      </c>
      <c r="AK181" s="12"/>
    </row>
    <row r="182" spans="1:37">
      <c r="A182" s="16">
        <v>34</v>
      </c>
      <c r="B182" s="16">
        <v>1858</v>
      </c>
      <c r="C182" s="16" t="s">
        <v>210</v>
      </c>
      <c r="D182" s="16" t="s">
        <v>23</v>
      </c>
      <c r="E182" s="16"/>
      <c r="F182" s="12" t="s">
        <v>177</v>
      </c>
      <c r="G182" s="12" t="s">
        <v>26</v>
      </c>
      <c r="H182" s="9"/>
      <c r="I182" s="12"/>
      <c r="J182" s="12">
        <v>150</v>
      </c>
      <c r="K182" s="12"/>
      <c r="L182" s="12">
        <v>10067</v>
      </c>
      <c r="M182" s="11">
        <f>L182*4+AI182-AJ182</f>
        <v>40268</v>
      </c>
      <c r="N182" s="13">
        <v>2013</v>
      </c>
      <c r="O182" s="12"/>
      <c r="P182" s="12"/>
      <c r="Q182" s="12"/>
      <c r="R182" s="12"/>
      <c r="S182" s="12">
        <v>38405</v>
      </c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3">
        <f>H182+I182+J182+K182+M182-N182</f>
        <v>38405</v>
      </c>
      <c r="AG182" s="13">
        <f>SUM(O182:AE182)</f>
        <v>38405</v>
      </c>
      <c r="AH182" s="13">
        <f>AF182-AG182</f>
        <v>0</v>
      </c>
      <c r="AI182" s="12"/>
      <c r="AJ182" s="12"/>
      <c r="AK182" s="12"/>
    </row>
    <row r="183" spans="1:37">
      <c r="A183" s="16">
        <v>35</v>
      </c>
      <c r="B183" s="19">
        <v>2262</v>
      </c>
      <c r="C183" s="19" t="s">
        <v>211</v>
      </c>
      <c r="D183" s="19" t="s">
        <v>23</v>
      </c>
      <c r="E183" s="19" t="s">
        <v>24</v>
      </c>
      <c r="F183" s="20" t="s">
        <v>177</v>
      </c>
      <c r="G183" s="20" t="s">
        <v>26</v>
      </c>
      <c r="H183" s="9">
        <v>5000</v>
      </c>
      <c r="I183" s="12">
        <v>1200</v>
      </c>
      <c r="J183" s="12">
        <v>150</v>
      </c>
      <c r="K183" s="12"/>
      <c r="L183" s="12">
        <v>10067</v>
      </c>
      <c r="M183" s="11">
        <f>L183*4+AI183-AJ183</f>
        <v>40268</v>
      </c>
      <c r="N183" s="13">
        <v>2013</v>
      </c>
      <c r="O183" s="12">
        <v>5000</v>
      </c>
      <c r="P183" s="12">
        <v>1200</v>
      </c>
      <c r="Q183" s="12"/>
      <c r="R183" s="12"/>
      <c r="S183" s="12">
        <v>38405</v>
      </c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3">
        <f>H183+I183+J183+K183+M183-N183</f>
        <v>44605</v>
      </c>
      <c r="AG183" s="13">
        <f>SUM(O183:AE183)</f>
        <v>44605</v>
      </c>
      <c r="AH183" s="13">
        <f>AF183-AG183</f>
        <v>0</v>
      </c>
      <c r="AI183" s="12"/>
      <c r="AJ183" s="12"/>
      <c r="AK183" s="12"/>
    </row>
    <row r="184" spans="1:37">
      <c r="A184" s="16">
        <v>36</v>
      </c>
      <c r="B184" s="16">
        <v>1845</v>
      </c>
      <c r="C184" s="16" t="s">
        <v>212</v>
      </c>
      <c r="D184" s="16" t="s">
        <v>28</v>
      </c>
      <c r="E184" s="16"/>
      <c r="F184" s="12" t="s">
        <v>177</v>
      </c>
      <c r="G184" s="12" t="s">
        <v>26</v>
      </c>
      <c r="H184" s="9"/>
      <c r="I184" s="12"/>
      <c r="J184" s="12">
        <v>150</v>
      </c>
      <c r="K184" s="12"/>
      <c r="L184" s="12">
        <v>10067</v>
      </c>
      <c r="M184" s="11">
        <f>L184*4+AI184-AJ184</f>
        <v>40268</v>
      </c>
      <c r="N184" s="13"/>
      <c r="O184" s="12"/>
      <c r="P184" s="12"/>
      <c r="Q184" s="12"/>
      <c r="R184" s="12"/>
      <c r="S184" s="12"/>
      <c r="T184" s="12"/>
      <c r="U184" s="12">
        <v>9601</v>
      </c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3">
        <f>H184+I184+J184+K184+M184-N184</f>
        <v>40418</v>
      </c>
      <c r="AG184" s="13">
        <f>SUM(O184:AE184)</f>
        <v>9601</v>
      </c>
      <c r="AH184" s="13">
        <f>AF184-AG184</f>
        <v>30817</v>
      </c>
      <c r="AI184" s="12"/>
      <c r="AJ184" s="12"/>
      <c r="AK184" s="12"/>
    </row>
    <row r="185" spans="1:37">
      <c r="A185" s="16">
        <v>1</v>
      </c>
      <c r="B185" s="16">
        <v>1869</v>
      </c>
      <c r="C185" s="16" t="s">
        <v>213</v>
      </c>
      <c r="D185" s="16" t="s">
        <v>28</v>
      </c>
      <c r="E185" s="16"/>
      <c r="F185" s="12" t="s">
        <v>177</v>
      </c>
      <c r="G185" s="12" t="s">
        <v>62</v>
      </c>
      <c r="H185" s="9"/>
      <c r="I185" s="12"/>
      <c r="J185" s="12">
        <v>150</v>
      </c>
      <c r="K185" s="12"/>
      <c r="L185" s="12">
        <v>10067</v>
      </c>
      <c r="M185" s="11">
        <f>L185*4+AI185-AJ185</f>
        <v>40268</v>
      </c>
      <c r="N185" s="13"/>
      <c r="O185" s="12"/>
      <c r="P185" s="12"/>
      <c r="Q185" s="12"/>
      <c r="R185" s="12"/>
      <c r="S185" s="12">
        <v>10217</v>
      </c>
      <c r="T185" s="12"/>
      <c r="U185" s="12"/>
      <c r="V185" s="12">
        <v>10067</v>
      </c>
      <c r="W185" s="12"/>
      <c r="X185" s="12"/>
      <c r="Y185" s="12"/>
      <c r="Z185" s="12"/>
      <c r="AA185" s="12"/>
      <c r="AB185" s="12"/>
      <c r="AC185" s="12"/>
      <c r="AD185" s="12"/>
      <c r="AE185" s="12"/>
      <c r="AF185" s="13">
        <f>H185+I185+J185+K185+M185-N185</f>
        <v>40418</v>
      </c>
      <c r="AG185" s="13">
        <f>SUM(O185:AE185)</f>
        <v>20284</v>
      </c>
      <c r="AH185" s="13">
        <f>AF185-AG185</f>
        <v>20134</v>
      </c>
      <c r="AI185" s="12"/>
      <c r="AJ185" s="12"/>
      <c r="AK185" s="12"/>
    </row>
    <row r="186" spans="1:37">
      <c r="A186" s="16">
        <v>2</v>
      </c>
      <c r="B186" s="10">
        <v>1863</v>
      </c>
      <c r="C186" s="10" t="s">
        <v>214</v>
      </c>
      <c r="D186" s="10" t="s">
        <v>23</v>
      </c>
      <c r="E186" s="16"/>
      <c r="F186" s="12" t="s">
        <v>177</v>
      </c>
      <c r="G186" s="12" t="s">
        <v>62</v>
      </c>
      <c r="H186" s="9"/>
      <c r="I186" s="12"/>
      <c r="J186" s="12">
        <v>150</v>
      </c>
      <c r="K186" s="12"/>
      <c r="L186" s="12">
        <v>10067</v>
      </c>
      <c r="M186" s="11">
        <f>L186*4+AI186-AJ186</f>
        <v>40268</v>
      </c>
      <c r="N186" s="13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3">
        <f>H186+I186+J186+K186+M186-N186</f>
        <v>40418</v>
      </c>
      <c r="AG186" s="13">
        <f>SUM(O186:AE186)</f>
        <v>0</v>
      </c>
      <c r="AH186" s="13">
        <f>AF186-AG186</f>
        <v>40418</v>
      </c>
      <c r="AI186" s="12"/>
      <c r="AJ186" s="12"/>
      <c r="AK186" s="12"/>
    </row>
    <row r="187" spans="1:37">
      <c r="A187" s="16">
        <v>3</v>
      </c>
      <c r="B187" s="16">
        <v>2037</v>
      </c>
      <c r="C187" s="16" t="s">
        <v>215</v>
      </c>
      <c r="D187" s="16" t="s">
        <v>28</v>
      </c>
      <c r="E187" s="16"/>
      <c r="F187" s="12" t="s">
        <v>177</v>
      </c>
      <c r="G187" s="12" t="s">
        <v>62</v>
      </c>
      <c r="H187" s="9"/>
      <c r="I187" s="12"/>
      <c r="J187" s="12">
        <v>150</v>
      </c>
      <c r="K187" s="12"/>
      <c r="L187" s="12">
        <v>10067</v>
      </c>
      <c r="M187" s="11">
        <f>L187*4+AI187-AJ187</f>
        <v>40268</v>
      </c>
      <c r="N187" s="13"/>
      <c r="O187" s="12"/>
      <c r="P187" s="12"/>
      <c r="Q187" s="12"/>
      <c r="R187" s="12"/>
      <c r="S187" s="12"/>
      <c r="T187" s="12">
        <v>10217</v>
      </c>
      <c r="U187" s="12"/>
      <c r="V187" s="12">
        <v>10067</v>
      </c>
      <c r="W187" s="12"/>
      <c r="X187" s="12"/>
      <c r="Y187" s="12"/>
      <c r="Z187" s="12"/>
      <c r="AA187" s="12"/>
      <c r="AB187" s="12"/>
      <c r="AC187" s="12"/>
      <c r="AD187" s="12"/>
      <c r="AE187" s="12"/>
      <c r="AF187" s="13">
        <f>H187+I187+J187+K187+M187-N187</f>
        <v>40418</v>
      </c>
      <c r="AG187" s="13">
        <f>SUM(O187:AE187)</f>
        <v>20284</v>
      </c>
      <c r="AH187" s="13">
        <f>AF187-AG187</f>
        <v>20134</v>
      </c>
      <c r="AI187" s="12"/>
      <c r="AJ187" s="12"/>
      <c r="AK187" s="12"/>
    </row>
    <row r="188" spans="1:37">
      <c r="A188" s="16">
        <v>4</v>
      </c>
      <c r="B188" s="10">
        <v>2058</v>
      </c>
      <c r="C188" s="10" t="s">
        <v>216</v>
      </c>
      <c r="D188" s="10" t="s">
        <v>28</v>
      </c>
      <c r="E188" s="16"/>
      <c r="F188" s="12" t="s">
        <v>177</v>
      </c>
      <c r="G188" s="12" t="s">
        <v>62</v>
      </c>
      <c r="H188" s="9"/>
      <c r="I188" s="12"/>
      <c r="J188" s="12">
        <v>150</v>
      </c>
      <c r="K188" s="12"/>
      <c r="L188" s="12">
        <v>10067</v>
      </c>
      <c r="M188" s="11">
        <f>L188*4+AI188-AJ188</f>
        <v>40268</v>
      </c>
      <c r="N188" s="13">
        <v>2013</v>
      </c>
      <c r="O188" s="9"/>
      <c r="P188" s="12"/>
      <c r="Q188" s="12"/>
      <c r="R188" s="12"/>
      <c r="S188" s="12">
        <v>38405</v>
      </c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3">
        <f>H188+I188+J188+K188+M188-N188</f>
        <v>38405</v>
      </c>
      <c r="AG188" s="13">
        <f>SUM(O188:AE188)</f>
        <v>38405</v>
      </c>
      <c r="AH188" s="13">
        <f>AF188-AG188</f>
        <v>0</v>
      </c>
      <c r="AI188" s="12"/>
      <c r="AJ188" s="12"/>
      <c r="AK188" s="12"/>
    </row>
    <row r="189" spans="1:37">
      <c r="A189" s="16">
        <v>5</v>
      </c>
      <c r="B189" s="14">
        <v>2112</v>
      </c>
      <c r="C189" s="14" t="s">
        <v>217</v>
      </c>
      <c r="D189" s="14" t="s">
        <v>28</v>
      </c>
      <c r="E189" s="17"/>
      <c r="F189" s="18" t="s">
        <v>177</v>
      </c>
      <c r="G189" s="18" t="s">
        <v>62</v>
      </c>
      <c r="H189" s="9"/>
      <c r="I189" s="12"/>
      <c r="J189" s="12">
        <v>150</v>
      </c>
      <c r="K189" s="12"/>
      <c r="L189" s="12">
        <v>0</v>
      </c>
      <c r="M189" s="11">
        <f>L189*4+AI189-AJ189</f>
        <v>0</v>
      </c>
      <c r="N189" s="13"/>
      <c r="O189" s="12"/>
      <c r="P189" s="12"/>
      <c r="Q189" s="12"/>
      <c r="R189" s="12"/>
      <c r="S189" s="12">
        <v>150</v>
      </c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3">
        <f>H189+I189+J189+K189+M189-N189</f>
        <v>150</v>
      </c>
      <c r="AG189" s="13">
        <f>SUM(O189:AE189)</f>
        <v>150</v>
      </c>
      <c r="AH189" s="13">
        <f>AF189-AG189</f>
        <v>0</v>
      </c>
      <c r="AI189" s="12"/>
      <c r="AJ189" s="12"/>
      <c r="AK189" s="12"/>
    </row>
    <row r="190" spans="1:37">
      <c r="A190" s="16">
        <v>6</v>
      </c>
      <c r="B190" s="16">
        <v>1894</v>
      </c>
      <c r="C190" s="16" t="s">
        <v>218</v>
      </c>
      <c r="D190" s="16" t="s">
        <v>28</v>
      </c>
      <c r="E190" s="16"/>
      <c r="F190" s="12" t="s">
        <v>177</v>
      </c>
      <c r="G190" s="12" t="s">
        <v>62</v>
      </c>
      <c r="H190" s="9"/>
      <c r="I190" s="12"/>
      <c r="J190" s="12">
        <v>150</v>
      </c>
      <c r="K190" s="12"/>
      <c r="L190" s="12">
        <v>10067</v>
      </c>
      <c r="M190" s="11">
        <f>L190*4+AI190-AJ190</f>
        <v>40268</v>
      </c>
      <c r="N190" s="13"/>
      <c r="O190" s="12"/>
      <c r="P190" s="12"/>
      <c r="Q190" s="12"/>
      <c r="R190" s="12"/>
      <c r="S190" s="12"/>
      <c r="T190" s="12"/>
      <c r="U190" s="12">
        <v>10217</v>
      </c>
      <c r="V190" s="12">
        <v>10067</v>
      </c>
      <c r="W190" s="12"/>
      <c r="X190" s="12"/>
      <c r="Y190" s="12"/>
      <c r="Z190" s="12"/>
      <c r="AA190" s="12"/>
      <c r="AB190" s="12"/>
      <c r="AC190" s="12"/>
      <c r="AD190" s="12"/>
      <c r="AE190" s="12"/>
      <c r="AF190" s="13">
        <f>H190+I190+J190+K190+M190-N190</f>
        <v>40418</v>
      </c>
      <c r="AG190" s="13">
        <f>SUM(O190:AE190)</f>
        <v>20284</v>
      </c>
      <c r="AH190" s="13">
        <f>AF190-AG190</f>
        <v>20134</v>
      </c>
      <c r="AI190" s="12"/>
      <c r="AJ190" s="12"/>
      <c r="AK190" s="12"/>
    </row>
    <row r="191" spans="1:37">
      <c r="A191" s="16">
        <v>7</v>
      </c>
      <c r="B191" s="16">
        <v>1854</v>
      </c>
      <c r="C191" s="16" t="s">
        <v>219</v>
      </c>
      <c r="D191" s="16" t="s">
        <v>23</v>
      </c>
      <c r="E191" s="16"/>
      <c r="F191" s="12" t="s">
        <v>177</v>
      </c>
      <c r="G191" s="12" t="s">
        <v>62</v>
      </c>
      <c r="H191" s="9"/>
      <c r="I191" s="12"/>
      <c r="J191" s="12">
        <v>150</v>
      </c>
      <c r="K191" s="12"/>
      <c r="L191" s="12">
        <v>10067</v>
      </c>
      <c r="M191" s="11">
        <f>L191*4+AI191-AJ191</f>
        <v>40268</v>
      </c>
      <c r="N191" s="13"/>
      <c r="O191" s="12"/>
      <c r="P191" s="12"/>
      <c r="Q191" s="12"/>
      <c r="R191" s="12"/>
      <c r="S191" s="12"/>
      <c r="T191" s="12"/>
      <c r="U191" s="12">
        <v>10217</v>
      </c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3">
        <f>H191+I191+J191+K191+M191-N191</f>
        <v>40418</v>
      </c>
      <c r="AG191" s="13">
        <f>SUM(O191:AE191)</f>
        <v>10217</v>
      </c>
      <c r="AH191" s="13">
        <f>AF191-AG191</f>
        <v>30201</v>
      </c>
      <c r="AI191" s="12"/>
      <c r="AJ191" s="12"/>
      <c r="AK191" s="12"/>
    </row>
    <row r="192" spans="1:37">
      <c r="A192" s="16">
        <v>8</v>
      </c>
      <c r="B192" s="10">
        <v>1819</v>
      </c>
      <c r="C192" s="10" t="s">
        <v>220</v>
      </c>
      <c r="D192" s="10" t="s">
        <v>23</v>
      </c>
      <c r="E192" s="16"/>
      <c r="F192" s="12" t="s">
        <v>177</v>
      </c>
      <c r="G192" s="12" t="s">
        <v>62</v>
      </c>
      <c r="H192" s="9"/>
      <c r="I192" s="12"/>
      <c r="J192" s="12">
        <v>150</v>
      </c>
      <c r="K192" s="12"/>
      <c r="L192" s="12">
        <v>10067</v>
      </c>
      <c r="M192" s="11">
        <f>L192*4+AI192-AJ192</f>
        <v>40268</v>
      </c>
      <c r="N192" s="13">
        <v>2013</v>
      </c>
      <c r="O192" s="12"/>
      <c r="P192" s="12"/>
      <c r="Q192" s="12"/>
      <c r="R192" s="12"/>
      <c r="S192" s="12">
        <v>38405</v>
      </c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3">
        <f>H192+I192+J192+K192+M192-N192</f>
        <v>38405</v>
      </c>
      <c r="AG192" s="13">
        <f>SUM(O192:AE192)</f>
        <v>38405</v>
      </c>
      <c r="AH192" s="13">
        <f>AF192-AG192</f>
        <v>0</v>
      </c>
      <c r="AI192" s="12"/>
      <c r="AJ192" s="12"/>
      <c r="AK192" s="12"/>
    </row>
    <row r="193" spans="1:37">
      <c r="A193" s="16">
        <v>9</v>
      </c>
      <c r="B193" s="16">
        <v>1815</v>
      </c>
      <c r="C193" s="16" t="s">
        <v>221</v>
      </c>
      <c r="D193" s="16" t="s">
        <v>28</v>
      </c>
      <c r="E193" s="16"/>
      <c r="F193" s="12" t="s">
        <v>177</v>
      </c>
      <c r="G193" s="12" t="s">
        <v>62</v>
      </c>
      <c r="H193" s="9"/>
      <c r="I193" s="12"/>
      <c r="J193" s="12">
        <v>150</v>
      </c>
      <c r="K193" s="12"/>
      <c r="L193" s="12">
        <v>10067</v>
      </c>
      <c r="M193" s="11">
        <f>L193*4+AI193-AJ193</f>
        <v>40268</v>
      </c>
      <c r="N193" s="13"/>
      <c r="O193" s="12"/>
      <c r="P193" s="12"/>
      <c r="Q193" s="12"/>
      <c r="R193" s="12"/>
      <c r="S193" s="12">
        <v>10217</v>
      </c>
      <c r="T193" s="12"/>
      <c r="U193" s="12"/>
      <c r="V193" s="12">
        <v>10067</v>
      </c>
      <c r="W193" s="12"/>
      <c r="X193" s="12"/>
      <c r="Y193" s="12"/>
      <c r="Z193" s="12"/>
      <c r="AA193" s="12"/>
      <c r="AB193" s="12"/>
      <c r="AC193" s="12"/>
      <c r="AD193" s="12"/>
      <c r="AE193" s="12"/>
      <c r="AF193" s="13">
        <f>H193+I193+J193+K193+M193-N193</f>
        <v>40418</v>
      </c>
      <c r="AG193" s="13">
        <f>SUM(O193:AE193)</f>
        <v>20284</v>
      </c>
      <c r="AH193" s="13">
        <f>AF193-AG193</f>
        <v>20134</v>
      </c>
      <c r="AI193" s="12"/>
      <c r="AJ193" s="12"/>
      <c r="AK193" s="12"/>
    </row>
    <row r="194" spans="1:37">
      <c r="A194" s="16">
        <v>10</v>
      </c>
      <c r="B194" s="16">
        <v>1821</v>
      </c>
      <c r="C194" s="16" t="s">
        <v>222</v>
      </c>
      <c r="D194" s="16" t="s">
        <v>23</v>
      </c>
      <c r="E194" s="16"/>
      <c r="F194" s="12" t="s">
        <v>177</v>
      </c>
      <c r="G194" s="12" t="s">
        <v>62</v>
      </c>
      <c r="H194" s="9"/>
      <c r="I194" s="12"/>
      <c r="J194" s="12">
        <v>150</v>
      </c>
      <c r="K194" s="12"/>
      <c r="L194" s="12">
        <v>10067</v>
      </c>
      <c r="M194" s="11">
        <f>L194*4+AI194-AJ194</f>
        <v>40268</v>
      </c>
      <c r="N194" s="13"/>
      <c r="O194" s="12"/>
      <c r="P194" s="12"/>
      <c r="Q194" s="12"/>
      <c r="R194" s="12"/>
      <c r="S194" s="12"/>
      <c r="T194" s="12"/>
      <c r="U194" s="12">
        <v>10217</v>
      </c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3">
        <f>H194+I194+J194+K194+M194-N194</f>
        <v>40418</v>
      </c>
      <c r="AG194" s="13">
        <f>SUM(O194:AE194)</f>
        <v>10217</v>
      </c>
      <c r="AH194" s="13">
        <f>AF194-AG194</f>
        <v>30201</v>
      </c>
      <c r="AI194" s="12"/>
      <c r="AJ194" s="12"/>
      <c r="AK194" s="12"/>
    </row>
    <row r="195" spans="1:37">
      <c r="A195" s="16">
        <v>11</v>
      </c>
      <c r="B195" s="16">
        <v>1872</v>
      </c>
      <c r="C195" s="16" t="s">
        <v>223</v>
      </c>
      <c r="D195" s="16" t="s">
        <v>28</v>
      </c>
      <c r="E195" s="16"/>
      <c r="F195" s="12" t="s">
        <v>177</v>
      </c>
      <c r="G195" s="12" t="s">
        <v>62</v>
      </c>
      <c r="H195" s="9"/>
      <c r="I195" s="12"/>
      <c r="J195" s="12">
        <v>150</v>
      </c>
      <c r="K195" s="12"/>
      <c r="L195" s="12">
        <v>10067</v>
      </c>
      <c r="M195" s="11">
        <f>L195*4+AI195-AJ195</f>
        <v>40268</v>
      </c>
      <c r="N195" s="13">
        <v>2013</v>
      </c>
      <c r="O195" s="12"/>
      <c r="P195" s="12"/>
      <c r="Q195" s="12"/>
      <c r="R195" s="12"/>
      <c r="S195" s="12">
        <v>38405</v>
      </c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3">
        <f>H195+I195+J195+K195+M195-N195</f>
        <v>38405</v>
      </c>
      <c r="AG195" s="13">
        <f>SUM(O195:AE195)</f>
        <v>38405</v>
      </c>
      <c r="AH195" s="13">
        <f>AF195-AG195</f>
        <v>0</v>
      </c>
      <c r="AI195" s="12"/>
      <c r="AJ195" s="12"/>
      <c r="AK195" s="12"/>
    </row>
    <row r="196" spans="1:37">
      <c r="A196" s="16">
        <v>12</v>
      </c>
      <c r="B196" s="16">
        <v>1861</v>
      </c>
      <c r="C196" s="16" t="s">
        <v>224</v>
      </c>
      <c r="D196" s="16" t="s">
        <v>23</v>
      </c>
      <c r="E196" s="16"/>
      <c r="F196" s="12" t="s">
        <v>177</v>
      </c>
      <c r="G196" s="12" t="s">
        <v>62</v>
      </c>
      <c r="H196" s="9"/>
      <c r="I196" s="12"/>
      <c r="J196" s="12">
        <v>150</v>
      </c>
      <c r="K196" s="12"/>
      <c r="L196" s="12">
        <v>10067</v>
      </c>
      <c r="M196" s="11">
        <f>L196*4+AI196-AJ196</f>
        <v>40268</v>
      </c>
      <c r="N196" s="13">
        <v>2013</v>
      </c>
      <c r="O196" s="12"/>
      <c r="P196" s="12"/>
      <c r="Q196" s="12"/>
      <c r="R196" s="12"/>
      <c r="S196" s="12">
        <v>38405</v>
      </c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3">
        <f>H196+I196+J196+K196+M196-N196</f>
        <v>38405</v>
      </c>
      <c r="AG196" s="13">
        <f>SUM(O196:AE196)</f>
        <v>38405</v>
      </c>
      <c r="AH196" s="13">
        <f>AF196-AG196</f>
        <v>0</v>
      </c>
      <c r="AI196" s="12"/>
      <c r="AJ196" s="12"/>
      <c r="AK196" s="12"/>
    </row>
    <row r="197" spans="1:37">
      <c r="A197" s="16">
        <v>13</v>
      </c>
      <c r="B197" s="16">
        <v>1823</v>
      </c>
      <c r="C197" s="16" t="s">
        <v>225</v>
      </c>
      <c r="D197" s="16" t="s">
        <v>28</v>
      </c>
      <c r="E197" s="16"/>
      <c r="F197" s="12" t="s">
        <v>177</v>
      </c>
      <c r="G197" s="12" t="s">
        <v>62</v>
      </c>
      <c r="H197" s="9"/>
      <c r="I197" s="12"/>
      <c r="J197" s="12">
        <v>150</v>
      </c>
      <c r="K197" s="12"/>
      <c r="L197" s="12">
        <v>10067</v>
      </c>
      <c r="M197" s="11">
        <f>L197*4+AI197-AJ197</f>
        <v>40268</v>
      </c>
      <c r="N197" s="13"/>
      <c r="O197" s="12"/>
      <c r="P197" s="12"/>
      <c r="Q197" s="12"/>
      <c r="R197" s="12"/>
      <c r="S197" s="12"/>
      <c r="T197" s="12"/>
      <c r="U197" s="12">
        <v>10217</v>
      </c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3">
        <f>H197+I197+J197+K197+M197-N197</f>
        <v>40418</v>
      </c>
      <c r="AG197" s="13">
        <f>SUM(O197:AE197)</f>
        <v>10217</v>
      </c>
      <c r="AH197" s="13">
        <f>AF197-AG197</f>
        <v>30201</v>
      </c>
      <c r="AI197" s="12"/>
      <c r="AJ197" s="12"/>
      <c r="AK197" s="12"/>
    </row>
    <row r="198" spans="1:37">
      <c r="A198" s="16">
        <v>14</v>
      </c>
      <c r="B198" s="16">
        <v>1841</v>
      </c>
      <c r="C198" s="16" t="s">
        <v>226</v>
      </c>
      <c r="D198" s="16" t="s">
        <v>23</v>
      </c>
      <c r="E198" s="16"/>
      <c r="F198" s="12" t="s">
        <v>177</v>
      </c>
      <c r="G198" s="12" t="s">
        <v>62</v>
      </c>
      <c r="H198" s="9"/>
      <c r="I198" s="12"/>
      <c r="J198" s="12">
        <v>150</v>
      </c>
      <c r="K198" s="12"/>
      <c r="L198" s="12">
        <v>10067</v>
      </c>
      <c r="M198" s="11">
        <f>L198*4+AI198-AJ198</f>
        <v>40268</v>
      </c>
      <c r="N198" s="13"/>
      <c r="O198" s="12"/>
      <c r="P198" s="12"/>
      <c r="Q198" s="12"/>
      <c r="R198" s="12"/>
      <c r="S198" s="12">
        <v>10217</v>
      </c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3">
        <f>H198+I198+J198+K198+M198-N198</f>
        <v>40418</v>
      </c>
      <c r="AG198" s="13">
        <f>SUM(O198:AE198)</f>
        <v>10217</v>
      </c>
      <c r="AH198" s="13">
        <f>AF198-AG198</f>
        <v>30201</v>
      </c>
      <c r="AI198" s="12"/>
      <c r="AJ198" s="12"/>
      <c r="AK198" s="12"/>
    </row>
    <row r="199" spans="1:37">
      <c r="A199" s="16">
        <v>15</v>
      </c>
      <c r="B199" s="23">
        <v>2081</v>
      </c>
      <c r="C199" s="23" t="s">
        <v>227</v>
      </c>
      <c r="D199" s="23" t="s">
        <v>23</v>
      </c>
      <c r="E199" s="23"/>
      <c r="F199" s="24" t="s">
        <v>177</v>
      </c>
      <c r="G199" s="24" t="s">
        <v>62</v>
      </c>
      <c r="H199" s="9"/>
      <c r="I199" s="12"/>
      <c r="J199" s="12">
        <v>150</v>
      </c>
      <c r="K199" s="12"/>
      <c r="L199" s="12">
        <v>5034</v>
      </c>
      <c r="M199" s="11">
        <f>L199*4+AI199-AJ199</f>
        <v>20136</v>
      </c>
      <c r="N199" s="13">
        <v>1009</v>
      </c>
      <c r="O199" s="9"/>
      <c r="P199" s="12"/>
      <c r="Q199" s="12"/>
      <c r="R199" s="12"/>
      <c r="S199" s="12">
        <v>19277</v>
      </c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3">
        <f>H199+I199+J199+K199+M199-N199</f>
        <v>19277</v>
      </c>
      <c r="AG199" s="13">
        <f>SUM(O199:AE199)</f>
        <v>19277</v>
      </c>
      <c r="AH199" s="13">
        <f>AF199-AG199</f>
        <v>0</v>
      </c>
      <c r="AI199" s="12"/>
      <c r="AJ199" s="12"/>
      <c r="AK199" s="12"/>
    </row>
    <row r="200" spans="1:37">
      <c r="A200" s="16">
        <v>16</v>
      </c>
      <c r="B200" s="16">
        <v>1866</v>
      </c>
      <c r="C200" s="16" t="s">
        <v>228</v>
      </c>
      <c r="D200" s="16" t="s">
        <v>23</v>
      </c>
      <c r="E200" s="16"/>
      <c r="F200" s="12" t="s">
        <v>177</v>
      </c>
      <c r="G200" s="9" t="s">
        <v>62</v>
      </c>
      <c r="H200" s="9"/>
      <c r="I200" s="12"/>
      <c r="J200" s="12">
        <v>150</v>
      </c>
      <c r="K200" s="12"/>
      <c r="L200" s="12">
        <v>10067</v>
      </c>
      <c r="M200" s="11">
        <f>L200*4+AI200-AJ200</f>
        <v>39818</v>
      </c>
      <c r="N200" s="13"/>
      <c r="O200" s="12"/>
      <c r="P200" s="12"/>
      <c r="Q200" s="12"/>
      <c r="R200" s="12"/>
      <c r="S200" s="12">
        <v>10217</v>
      </c>
      <c r="T200" s="12"/>
      <c r="U200" s="12"/>
      <c r="V200" s="12">
        <v>10067</v>
      </c>
      <c r="W200" s="12"/>
      <c r="X200" s="12"/>
      <c r="Y200" s="12"/>
      <c r="Z200" s="12"/>
      <c r="AA200" s="12"/>
      <c r="AB200" s="12"/>
      <c r="AC200" s="12"/>
      <c r="AD200" s="12"/>
      <c r="AE200" s="12"/>
      <c r="AF200" s="13">
        <f>H200+I200+J200+K200+M200-N200</f>
        <v>39968</v>
      </c>
      <c r="AG200" s="13">
        <f>SUM(O200:AE200)</f>
        <v>20284</v>
      </c>
      <c r="AH200" s="13">
        <f>AF200-AG200</f>
        <v>19684</v>
      </c>
      <c r="AI200" s="12"/>
      <c r="AJ200" s="12">
        <v>450</v>
      </c>
      <c r="AK200" s="12"/>
    </row>
    <row r="201" spans="1:37">
      <c r="A201" s="16">
        <v>17</v>
      </c>
      <c r="B201" s="16">
        <v>1840</v>
      </c>
      <c r="C201" s="16" t="s">
        <v>156</v>
      </c>
      <c r="D201" s="16" t="s">
        <v>28</v>
      </c>
      <c r="E201" s="16"/>
      <c r="F201" s="12" t="s">
        <v>177</v>
      </c>
      <c r="G201" s="12" t="s">
        <v>62</v>
      </c>
      <c r="H201" s="9"/>
      <c r="I201" s="12"/>
      <c r="J201" s="12">
        <v>150</v>
      </c>
      <c r="K201" s="12"/>
      <c r="L201" s="12">
        <v>10067</v>
      </c>
      <c r="M201" s="11">
        <f>L201*4+AI201-AJ201</f>
        <v>40268</v>
      </c>
      <c r="N201" s="13">
        <v>2013</v>
      </c>
      <c r="O201" s="12"/>
      <c r="P201" s="12"/>
      <c r="Q201" s="12"/>
      <c r="R201" s="12"/>
      <c r="S201" s="12"/>
      <c r="T201" s="12"/>
      <c r="U201" s="12">
        <v>38405</v>
      </c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3">
        <f>H201+I201+J201+K201+M201-N201</f>
        <v>38405</v>
      </c>
      <c r="AG201" s="13">
        <f>SUM(O201:AE201)</f>
        <v>38405</v>
      </c>
      <c r="AH201" s="13">
        <f>AF201-AG201</f>
        <v>0</v>
      </c>
      <c r="AI201" s="12"/>
      <c r="AJ201" s="12"/>
      <c r="AK201" s="12"/>
    </row>
    <row r="202" spans="1:37">
      <c r="A202" s="16">
        <v>18</v>
      </c>
      <c r="B202" s="16">
        <v>1844</v>
      </c>
      <c r="C202" s="16" t="s">
        <v>229</v>
      </c>
      <c r="D202" s="16" t="s">
        <v>23</v>
      </c>
      <c r="E202" s="16"/>
      <c r="F202" s="12" t="s">
        <v>177</v>
      </c>
      <c r="G202" s="12" t="s">
        <v>62</v>
      </c>
      <c r="H202" s="9"/>
      <c r="I202" s="12"/>
      <c r="J202" s="12">
        <v>150</v>
      </c>
      <c r="K202" s="12"/>
      <c r="L202" s="12">
        <v>10067</v>
      </c>
      <c r="M202" s="11">
        <f>L202*4+AI202-AJ202</f>
        <v>40268</v>
      </c>
      <c r="N202" s="13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3">
        <f>H202+I202+J202+K202+M202-N202</f>
        <v>40418</v>
      </c>
      <c r="AG202" s="13">
        <f>SUM(O202:AE202)</f>
        <v>0</v>
      </c>
      <c r="AH202" s="13">
        <f>AF202-AG202</f>
        <v>40418</v>
      </c>
      <c r="AI202" s="12"/>
      <c r="AJ202" s="12"/>
      <c r="AK202" s="12"/>
    </row>
    <row r="203" spans="1:37">
      <c r="A203" s="16">
        <v>19</v>
      </c>
      <c r="B203" s="16">
        <v>1846</v>
      </c>
      <c r="C203" s="16" t="s">
        <v>230</v>
      </c>
      <c r="D203" s="16" t="s">
        <v>28</v>
      </c>
      <c r="E203" s="16"/>
      <c r="F203" s="12" t="s">
        <v>177</v>
      </c>
      <c r="G203" s="12" t="s">
        <v>62</v>
      </c>
      <c r="H203" s="9"/>
      <c r="I203" s="12"/>
      <c r="J203" s="12">
        <v>150</v>
      </c>
      <c r="K203" s="12"/>
      <c r="L203" s="12">
        <v>10067</v>
      </c>
      <c r="M203" s="11">
        <f>L203*4+AI203-AJ203</f>
        <v>40268</v>
      </c>
      <c r="N203" s="13"/>
      <c r="O203" s="12"/>
      <c r="P203" s="12"/>
      <c r="Q203" s="12"/>
      <c r="R203" s="12"/>
      <c r="S203" s="12"/>
      <c r="T203" s="12">
        <v>10217</v>
      </c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3">
        <f>H203+I203+J203+K203+M203-N203</f>
        <v>40418</v>
      </c>
      <c r="AG203" s="13">
        <f>SUM(O203:AE203)</f>
        <v>10217</v>
      </c>
      <c r="AH203" s="13">
        <f>AF203-AG203</f>
        <v>30201</v>
      </c>
      <c r="AI203" s="12"/>
      <c r="AJ203" s="12"/>
      <c r="AK203" s="12"/>
    </row>
    <row r="204" spans="1:37">
      <c r="A204" s="16">
        <v>20</v>
      </c>
      <c r="B204" s="16">
        <v>1817</v>
      </c>
      <c r="C204" s="16" t="s">
        <v>231</v>
      </c>
      <c r="D204" s="16" t="s">
        <v>28</v>
      </c>
      <c r="E204" s="16"/>
      <c r="F204" s="12" t="s">
        <v>177</v>
      </c>
      <c r="G204" s="12" t="s">
        <v>62</v>
      </c>
      <c r="H204" s="9"/>
      <c r="I204" s="12"/>
      <c r="J204" s="12">
        <v>150</v>
      </c>
      <c r="K204" s="12"/>
      <c r="L204" s="12">
        <v>10067</v>
      </c>
      <c r="M204" s="11">
        <f>L204*4+AI204-AJ204</f>
        <v>40268</v>
      </c>
      <c r="N204" s="13">
        <v>2013</v>
      </c>
      <c r="O204" s="12"/>
      <c r="P204" s="12"/>
      <c r="Q204" s="12"/>
      <c r="R204" s="12"/>
      <c r="S204" s="11">
        <f>36485+1920</f>
        <v>38405</v>
      </c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3">
        <f>H204+I204+J204+K204+M204-N204</f>
        <v>38405</v>
      </c>
      <c r="AG204" s="13">
        <f>SUM(O204:AE204)</f>
        <v>38405</v>
      </c>
      <c r="AH204" s="13">
        <f>AF204-AG204</f>
        <v>0</v>
      </c>
      <c r="AI204" s="12"/>
      <c r="AJ204" s="12"/>
      <c r="AK204" s="12"/>
    </row>
    <row r="205" spans="1:37">
      <c r="A205" s="16">
        <v>21</v>
      </c>
      <c r="B205" s="16">
        <v>1859</v>
      </c>
      <c r="C205" s="16" t="s">
        <v>232</v>
      </c>
      <c r="D205" s="16" t="s">
        <v>28</v>
      </c>
      <c r="E205" s="16"/>
      <c r="F205" s="12" t="s">
        <v>177</v>
      </c>
      <c r="G205" s="12" t="s">
        <v>62</v>
      </c>
      <c r="H205" s="9"/>
      <c r="I205" s="12"/>
      <c r="J205" s="12">
        <v>150</v>
      </c>
      <c r="K205" s="12"/>
      <c r="L205" s="12">
        <v>10067</v>
      </c>
      <c r="M205" s="11">
        <f>L205*4+AI205-AJ205</f>
        <v>40268</v>
      </c>
      <c r="N205" s="13"/>
      <c r="O205" s="12"/>
      <c r="P205" s="12"/>
      <c r="Q205" s="12"/>
      <c r="R205" s="12"/>
      <c r="S205" s="12">
        <v>10217</v>
      </c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3">
        <f>H205+I205+J205+K205+M205-N205</f>
        <v>40418</v>
      </c>
      <c r="AG205" s="13">
        <f>SUM(O205:AE205)</f>
        <v>10217</v>
      </c>
      <c r="AH205" s="13">
        <f>AF205-AG205</f>
        <v>30201</v>
      </c>
      <c r="AI205" s="12"/>
      <c r="AJ205" s="12"/>
      <c r="AK205" s="12"/>
    </row>
    <row r="206" spans="1:37">
      <c r="A206" s="16">
        <v>22</v>
      </c>
      <c r="B206" s="16">
        <v>1874</v>
      </c>
      <c r="C206" s="16" t="s">
        <v>233</v>
      </c>
      <c r="D206" s="16" t="s">
        <v>28</v>
      </c>
      <c r="E206" s="16"/>
      <c r="F206" s="12" t="s">
        <v>177</v>
      </c>
      <c r="G206" s="12" t="s">
        <v>62</v>
      </c>
      <c r="H206" s="9"/>
      <c r="I206" s="12"/>
      <c r="J206" s="12">
        <v>150</v>
      </c>
      <c r="K206" s="12"/>
      <c r="L206" s="12">
        <v>10067</v>
      </c>
      <c r="M206" s="11">
        <f>L206*4+AI206-AJ206</f>
        <v>40268</v>
      </c>
      <c r="N206" s="13"/>
      <c r="O206" s="12"/>
      <c r="P206" s="12"/>
      <c r="Q206" s="12"/>
      <c r="R206" s="12"/>
      <c r="S206" s="12"/>
      <c r="T206" s="12"/>
      <c r="U206" s="12"/>
      <c r="V206" s="12">
        <v>10217</v>
      </c>
      <c r="W206" s="12"/>
      <c r="X206" s="12"/>
      <c r="Y206" s="12"/>
      <c r="Z206" s="12"/>
      <c r="AA206" s="12"/>
      <c r="AB206" s="12"/>
      <c r="AC206" s="12"/>
      <c r="AD206" s="12"/>
      <c r="AE206" s="12"/>
      <c r="AF206" s="13">
        <f>H206+I206+J206+K206+M206-N206</f>
        <v>40418</v>
      </c>
      <c r="AG206" s="13">
        <f>SUM(O206:AE206)</f>
        <v>10217</v>
      </c>
      <c r="AH206" s="13">
        <f>AF206-AG206</f>
        <v>30201</v>
      </c>
      <c r="AI206" s="12"/>
      <c r="AJ206" s="12"/>
      <c r="AK206" s="12"/>
    </row>
    <row r="207" spans="1:37">
      <c r="A207" s="16">
        <v>23</v>
      </c>
      <c r="B207" s="16">
        <v>1829</v>
      </c>
      <c r="C207" s="10" t="s">
        <v>234</v>
      </c>
      <c r="D207" s="16" t="s">
        <v>28</v>
      </c>
      <c r="E207" s="16"/>
      <c r="F207" s="12" t="s">
        <v>177</v>
      </c>
      <c r="G207" s="12" t="s">
        <v>62</v>
      </c>
      <c r="H207" s="9"/>
      <c r="I207" s="12"/>
      <c r="J207" s="12">
        <v>150</v>
      </c>
      <c r="K207" s="12"/>
      <c r="L207" s="12">
        <v>10067</v>
      </c>
      <c r="M207" s="11">
        <f>L207*4+AI207-AJ207</f>
        <v>40268</v>
      </c>
      <c r="N207" s="13"/>
      <c r="O207" s="12"/>
      <c r="P207" s="12"/>
      <c r="Q207" s="12"/>
      <c r="R207" s="12"/>
      <c r="S207" s="12"/>
      <c r="T207" s="12">
        <v>10217</v>
      </c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3">
        <f>H207+I207+J207+K207+M207-N207</f>
        <v>40418</v>
      </c>
      <c r="AG207" s="13">
        <f>SUM(O207:AE207)</f>
        <v>10217</v>
      </c>
      <c r="AH207" s="13">
        <f>AF207-AG207</f>
        <v>30201</v>
      </c>
      <c r="AI207" s="12"/>
      <c r="AJ207" s="12"/>
      <c r="AK207" s="12"/>
    </row>
    <row r="208" spans="1:37">
      <c r="A208" s="16">
        <v>24</v>
      </c>
      <c r="B208" s="16">
        <v>1853</v>
      </c>
      <c r="C208" s="16" t="s">
        <v>235</v>
      </c>
      <c r="D208" s="16" t="s">
        <v>28</v>
      </c>
      <c r="E208" s="16"/>
      <c r="F208" s="12" t="s">
        <v>177</v>
      </c>
      <c r="G208" s="12" t="s">
        <v>62</v>
      </c>
      <c r="H208" s="9"/>
      <c r="I208" s="12"/>
      <c r="J208" s="12">
        <v>150</v>
      </c>
      <c r="K208" s="12"/>
      <c r="L208" s="12">
        <v>10067</v>
      </c>
      <c r="M208" s="11">
        <f>L208*4+AI208-AJ208</f>
        <v>40268</v>
      </c>
      <c r="N208" s="13"/>
      <c r="O208" s="12"/>
      <c r="P208" s="12"/>
      <c r="Q208" s="12"/>
      <c r="R208" s="12"/>
      <c r="S208" s="12"/>
      <c r="T208" s="12">
        <v>10217</v>
      </c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3">
        <f>H208+I208+J208+K208+M208-N208</f>
        <v>40418</v>
      </c>
      <c r="AG208" s="13">
        <f>SUM(O208:AE208)</f>
        <v>10217</v>
      </c>
      <c r="AH208" s="13">
        <f>AF208-AG208</f>
        <v>30201</v>
      </c>
      <c r="AI208" s="12"/>
      <c r="AJ208" s="12"/>
      <c r="AK208" s="12"/>
    </row>
    <row r="209" spans="1:37">
      <c r="A209" s="16">
        <v>25</v>
      </c>
      <c r="B209" s="16">
        <v>1876</v>
      </c>
      <c r="C209" s="16" t="s">
        <v>236</v>
      </c>
      <c r="D209" s="16" t="s">
        <v>28</v>
      </c>
      <c r="E209" s="16"/>
      <c r="F209" s="12" t="s">
        <v>177</v>
      </c>
      <c r="G209" s="12" t="s">
        <v>62</v>
      </c>
      <c r="H209" s="9"/>
      <c r="I209" s="12"/>
      <c r="J209" s="12">
        <v>150</v>
      </c>
      <c r="K209" s="12"/>
      <c r="L209" s="12">
        <v>10067</v>
      </c>
      <c r="M209" s="11">
        <f>L209*4+AI209-AJ209</f>
        <v>40268</v>
      </c>
      <c r="N209" s="13"/>
      <c r="O209" s="12"/>
      <c r="P209" s="12"/>
      <c r="Q209" s="12"/>
      <c r="R209" s="12"/>
      <c r="S209" s="12">
        <v>10217</v>
      </c>
      <c r="T209" s="12"/>
      <c r="U209" s="12"/>
      <c r="V209" s="12">
        <v>10067</v>
      </c>
      <c r="W209" s="12"/>
      <c r="X209" s="12"/>
      <c r="Y209" s="12"/>
      <c r="Z209" s="12"/>
      <c r="AA209" s="12"/>
      <c r="AB209" s="12"/>
      <c r="AC209" s="12"/>
      <c r="AD209" s="12"/>
      <c r="AE209" s="12"/>
      <c r="AF209" s="13">
        <f>H209+I209+J209+K209+M209-N209</f>
        <v>40418</v>
      </c>
      <c r="AG209" s="13">
        <f>SUM(O209:AE209)</f>
        <v>20284</v>
      </c>
      <c r="AH209" s="13">
        <f>AF209-AG209</f>
        <v>20134</v>
      </c>
      <c r="AI209" s="12"/>
      <c r="AJ209" s="12"/>
      <c r="AK209" s="12"/>
    </row>
    <row r="210" spans="1:37">
      <c r="A210" s="16">
        <v>26</v>
      </c>
      <c r="B210" s="16">
        <v>1822</v>
      </c>
      <c r="C210" s="16" t="s">
        <v>237</v>
      </c>
      <c r="D210" s="16" t="s">
        <v>23</v>
      </c>
      <c r="E210" s="16"/>
      <c r="F210" s="12" t="s">
        <v>177</v>
      </c>
      <c r="G210" s="12" t="s">
        <v>62</v>
      </c>
      <c r="H210" s="9"/>
      <c r="I210" s="12"/>
      <c r="J210" s="12">
        <v>150</v>
      </c>
      <c r="K210" s="12"/>
      <c r="L210" s="12">
        <v>10067</v>
      </c>
      <c r="M210" s="11">
        <f>L210*4+AI210-AJ210</f>
        <v>40268</v>
      </c>
      <c r="N210" s="13"/>
      <c r="O210" s="12"/>
      <c r="P210" s="12"/>
      <c r="Q210" s="12"/>
      <c r="R210" s="12"/>
      <c r="S210" s="12"/>
      <c r="T210" s="12"/>
      <c r="U210" s="12">
        <v>10217</v>
      </c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3">
        <f>H210+I210+J210+K210+M210-N210</f>
        <v>40418</v>
      </c>
      <c r="AG210" s="13">
        <f>SUM(O210:AE210)</f>
        <v>10217</v>
      </c>
      <c r="AH210" s="13">
        <f>AF210-AG210</f>
        <v>30201</v>
      </c>
      <c r="AI210" s="12"/>
      <c r="AJ210" s="12"/>
      <c r="AK210" s="12"/>
    </row>
    <row r="211" spans="1:37">
      <c r="A211" s="16">
        <v>27</v>
      </c>
      <c r="B211" s="16">
        <v>1843</v>
      </c>
      <c r="C211" s="16" t="s">
        <v>238</v>
      </c>
      <c r="D211" s="16" t="s">
        <v>28</v>
      </c>
      <c r="E211" s="16"/>
      <c r="F211" s="12" t="s">
        <v>177</v>
      </c>
      <c r="G211" s="12" t="s">
        <v>62</v>
      </c>
      <c r="H211" s="9"/>
      <c r="I211" s="12"/>
      <c r="J211" s="12">
        <v>150</v>
      </c>
      <c r="K211" s="12"/>
      <c r="L211" s="12">
        <v>10067</v>
      </c>
      <c r="M211" s="11">
        <f>L211*4+AI211-AJ211</f>
        <v>40268</v>
      </c>
      <c r="N211" s="13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3">
        <f>H211+I211+J211+K211+M211-N211</f>
        <v>40418</v>
      </c>
      <c r="AG211" s="13">
        <f>SUM(O211:AE211)</f>
        <v>0</v>
      </c>
      <c r="AH211" s="13">
        <f>AF211-AG211</f>
        <v>40418</v>
      </c>
      <c r="AI211" s="12"/>
      <c r="AJ211" s="12"/>
      <c r="AK211" s="12"/>
    </row>
    <row r="212" spans="1:37">
      <c r="A212" s="16">
        <v>28</v>
      </c>
      <c r="B212" s="16">
        <v>1835</v>
      </c>
      <c r="C212" s="16" t="s">
        <v>239</v>
      </c>
      <c r="D212" s="16" t="s">
        <v>28</v>
      </c>
      <c r="E212" s="16"/>
      <c r="F212" s="12" t="s">
        <v>177</v>
      </c>
      <c r="G212" s="12" t="s">
        <v>62</v>
      </c>
      <c r="H212" s="9"/>
      <c r="I212" s="12"/>
      <c r="J212" s="12">
        <v>150</v>
      </c>
      <c r="K212" s="12"/>
      <c r="L212" s="12">
        <v>10067</v>
      </c>
      <c r="M212" s="11">
        <f>L212*4+AI212-AJ212</f>
        <v>40268</v>
      </c>
      <c r="N212" s="13"/>
      <c r="O212" s="12"/>
      <c r="P212" s="12"/>
      <c r="Q212" s="12"/>
      <c r="R212" s="12"/>
      <c r="S212" s="12">
        <v>10217</v>
      </c>
      <c r="T212" s="12"/>
      <c r="U212" s="12"/>
      <c r="V212" s="12">
        <v>10067</v>
      </c>
      <c r="W212" s="12"/>
      <c r="X212" s="12"/>
      <c r="Y212" s="12"/>
      <c r="Z212" s="12"/>
      <c r="AA212" s="12"/>
      <c r="AB212" s="12"/>
      <c r="AC212" s="12"/>
      <c r="AD212" s="12"/>
      <c r="AE212" s="12"/>
      <c r="AF212" s="13">
        <f>H212+I212+J212+K212+M212-N212</f>
        <v>40418</v>
      </c>
      <c r="AG212" s="13">
        <f>SUM(O212:AE212)</f>
        <v>20284</v>
      </c>
      <c r="AH212" s="13">
        <f>AF212-AG212</f>
        <v>20134</v>
      </c>
      <c r="AI212" s="12"/>
      <c r="AJ212" s="12"/>
      <c r="AK212" s="12"/>
    </row>
    <row r="213" spans="1:37">
      <c r="A213" s="16">
        <v>29</v>
      </c>
      <c r="B213" s="16">
        <v>1838</v>
      </c>
      <c r="C213" s="16" t="s">
        <v>240</v>
      </c>
      <c r="D213" s="16" t="s">
        <v>23</v>
      </c>
      <c r="E213" s="16"/>
      <c r="F213" s="12" t="s">
        <v>177</v>
      </c>
      <c r="G213" s="12" t="s">
        <v>62</v>
      </c>
      <c r="H213" s="9"/>
      <c r="I213" s="12"/>
      <c r="J213" s="12">
        <v>150</v>
      </c>
      <c r="K213" s="12"/>
      <c r="L213" s="12">
        <v>10067</v>
      </c>
      <c r="M213" s="11">
        <f>L213*4+AI213-AJ213</f>
        <v>40268</v>
      </c>
      <c r="N213" s="13"/>
      <c r="O213" s="12"/>
      <c r="P213" s="12"/>
      <c r="Q213" s="12"/>
      <c r="R213" s="12"/>
      <c r="S213" s="12">
        <v>10217</v>
      </c>
      <c r="T213" s="12"/>
      <c r="U213" s="12"/>
      <c r="V213" s="12">
        <v>10067</v>
      </c>
      <c r="W213" s="12"/>
      <c r="X213" s="12"/>
      <c r="Y213" s="12"/>
      <c r="Z213" s="12"/>
      <c r="AA213" s="12"/>
      <c r="AB213" s="12"/>
      <c r="AC213" s="12"/>
      <c r="AD213" s="12"/>
      <c r="AE213" s="12"/>
      <c r="AF213" s="13">
        <f>H213+I213+J213+K213+M213-N213</f>
        <v>40418</v>
      </c>
      <c r="AG213" s="13">
        <f>SUM(O213:AE213)</f>
        <v>20284</v>
      </c>
      <c r="AH213" s="13">
        <f>AF213-AG213</f>
        <v>20134</v>
      </c>
      <c r="AI213" s="12"/>
      <c r="AJ213" s="12"/>
      <c r="AK213" s="12"/>
    </row>
    <row r="214" spans="1:37">
      <c r="A214" s="16">
        <v>30</v>
      </c>
      <c r="B214" s="16">
        <v>1857</v>
      </c>
      <c r="C214" s="16" t="s">
        <v>241</v>
      </c>
      <c r="D214" s="16" t="s">
        <v>23</v>
      </c>
      <c r="E214" s="16"/>
      <c r="F214" s="12" t="s">
        <v>177</v>
      </c>
      <c r="G214" s="12" t="s">
        <v>62</v>
      </c>
      <c r="H214" s="9"/>
      <c r="I214" s="12"/>
      <c r="J214" s="12">
        <v>150</v>
      </c>
      <c r="K214" s="12"/>
      <c r="L214" s="12">
        <v>10067</v>
      </c>
      <c r="M214" s="11">
        <f>L214*4+AI214-AJ214</f>
        <v>40268</v>
      </c>
      <c r="N214" s="13">
        <v>2013</v>
      </c>
      <c r="O214" s="12"/>
      <c r="P214" s="12"/>
      <c r="Q214" s="12"/>
      <c r="R214" s="12"/>
      <c r="S214" s="12">
        <v>38405</v>
      </c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3">
        <f>H214+I214+J214+K214+M214-N214</f>
        <v>38405</v>
      </c>
      <c r="AG214" s="13">
        <f>SUM(O214:AE214)</f>
        <v>38405</v>
      </c>
      <c r="AH214" s="13">
        <f>AF214-AG214</f>
        <v>0</v>
      </c>
      <c r="AI214" s="12"/>
      <c r="AJ214" s="12"/>
      <c r="AK214" s="12"/>
    </row>
    <row r="215" spans="1:37">
      <c r="A215" s="16">
        <v>31</v>
      </c>
      <c r="B215" s="19">
        <v>2223</v>
      </c>
      <c r="C215" s="19" t="s">
        <v>242</v>
      </c>
      <c r="D215" s="19" t="s">
        <v>28</v>
      </c>
      <c r="E215" s="19" t="s">
        <v>24</v>
      </c>
      <c r="F215" s="20" t="s">
        <v>177</v>
      </c>
      <c r="G215" s="20" t="s">
        <v>62</v>
      </c>
      <c r="H215" s="9">
        <v>5000</v>
      </c>
      <c r="I215" s="12">
        <v>1200</v>
      </c>
      <c r="J215" s="12">
        <v>150</v>
      </c>
      <c r="K215" s="12"/>
      <c r="L215" s="12">
        <v>10067</v>
      </c>
      <c r="M215" s="11">
        <f>L215*4+AI215-AJ215</f>
        <v>40268</v>
      </c>
      <c r="N215" s="13"/>
      <c r="O215" s="12">
        <v>5000</v>
      </c>
      <c r="P215" s="12">
        <v>1200</v>
      </c>
      <c r="Q215" s="12"/>
      <c r="R215" s="11">
        <f>10067+150</f>
        <v>10217</v>
      </c>
      <c r="S215" s="12"/>
      <c r="T215" s="12"/>
      <c r="U215" s="12"/>
      <c r="V215" s="12">
        <v>10067</v>
      </c>
      <c r="W215" s="12"/>
      <c r="X215" s="12"/>
      <c r="Y215" s="12"/>
      <c r="Z215" s="12"/>
      <c r="AA215" s="12"/>
      <c r="AB215" s="12"/>
      <c r="AC215" s="12"/>
      <c r="AD215" s="12"/>
      <c r="AE215" s="12"/>
      <c r="AF215" s="13">
        <f>H215+I215+J215+K215+M215-N215</f>
        <v>46618</v>
      </c>
      <c r="AG215" s="13">
        <f>SUM(O215:AE215)</f>
        <v>26484</v>
      </c>
      <c r="AH215" s="13">
        <f>AF215-AG215</f>
        <v>20134</v>
      </c>
      <c r="AI215" s="12"/>
      <c r="AJ215" s="12"/>
      <c r="AK215" s="12"/>
    </row>
    <row r="216" spans="1:37">
      <c r="A216" s="16">
        <v>32</v>
      </c>
      <c r="B216" s="19">
        <v>2216</v>
      </c>
      <c r="C216" s="19" t="s">
        <v>136</v>
      </c>
      <c r="D216" s="19" t="s">
        <v>28</v>
      </c>
      <c r="E216" s="19" t="s">
        <v>24</v>
      </c>
      <c r="F216" s="20" t="s">
        <v>177</v>
      </c>
      <c r="G216" s="20" t="s">
        <v>62</v>
      </c>
      <c r="H216" s="9">
        <v>5000</v>
      </c>
      <c r="I216" s="12">
        <v>1200</v>
      </c>
      <c r="J216" s="12">
        <v>150</v>
      </c>
      <c r="K216" s="12"/>
      <c r="L216" s="12">
        <v>10067</v>
      </c>
      <c r="M216" s="11">
        <f>L216*4+AI216-AJ216</f>
        <v>40268</v>
      </c>
      <c r="N216" s="13"/>
      <c r="O216" s="12">
        <v>5000</v>
      </c>
      <c r="P216" s="12">
        <v>1200</v>
      </c>
      <c r="Q216" s="12"/>
      <c r="R216" s="11">
        <f>10067+150</f>
        <v>10217</v>
      </c>
      <c r="S216" s="12"/>
      <c r="T216" s="12"/>
      <c r="U216" s="12"/>
      <c r="V216" s="12">
        <v>10067</v>
      </c>
      <c r="W216" s="12"/>
      <c r="X216" s="12"/>
      <c r="Y216" s="12"/>
      <c r="Z216" s="12"/>
      <c r="AA216" s="12"/>
      <c r="AB216" s="12"/>
      <c r="AC216" s="12"/>
      <c r="AD216" s="12"/>
      <c r="AE216" s="12"/>
      <c r="AF216" s="13">
        <f>H216+I216+J216+K216+M216-N216</f>
        <v>46618</v>
      </c>
      <c r="AG216" s="13">
        <f>SUM(O216:AE216)</f>
        <v>26484</v>
      </c>
      <c r="AH216" s="13">
        <f>AF216-AG216</f>
        <v>20134</v>
      </c>
      <c r="AI216" s="12"/>
      <c r="AJ216" s="12"/>
      <c r="AK216" s="12"/>
    </row>
    <row r="217" spans="1:37">
      <c r="A217" s="16">
        <v>33</v>
      </c>
      <c r="B217" s="16">
        <v>1827</v>
      </c>
      <c r="C217" s="16" t="s">
        <v>243</v>
      </c>
      <c r="D217" s="16" t="s">
        <v>28</v>
      </c>
      <c r="E217" s="16"/>
      <c r="F217" s="12" t="s">
        <v>177</v>
      </c>
      <c r="G217" s="12" t="s">
        <v>62</v>
      </c>
      <c r="H217" s="9"/>
      <c r="I217" s="12"/>
      <c r="J217" s="12">
        <v>150</v>
      </c>
      <c r="K217" s="12"/>
      <c r="L217" s="12">
        <v>10067</v>
      </c>
      <c r="M217" s="11">
        <f>L217*4+AI217-AJ217</f>
        <v>40268</v>
      </c>
      <c r="N217" s="13">
        <v>2013</v>
      </c>
      <c r="O217" s="12"/>
      <c r="P217" s="12"/>
      <c r="Q217" s="12"/>
      <c r="R217" s="12"/>
      <c r="S217" s="12">
        <v>38405</v>
      </c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3">
        <f>H217+I217+J217+K217+M217-N217</f>
        <v>38405</v>
      </c>
      <c r="AG217" s="13">
        <f>SUM(O217:AE217)</f>
        <v>38405</v>
      </c>
      <c r="AH217" s="13">
        <f>AF217-AG217</f>
        <v>0</v>
      </c>
      <c r="AI217" s="12"/>
      <c r="AJ217" s="12"/>
      <c r="AK217" s="12"/>
    </row>
    <row r="218" spans="1:37">
      <c r="A218" s="16">
        <v>34</v>
      </c>
      <c r="B218" s="16">
        <v>1847</v>
      </c>
      <c r="C218" s="16" t="s">
        <v>244</v>
      </c>
      <c r="D218" s="16" t="s">
        <v>23</v>
      </c>
      <c r="E218" s="16"/>
      <c r="F218" s="12" t="s">
        <v>177</v>
      </c>
      <c r="G218" s="12" t="s">
        <v>62</v>
      </c>
      <c r="H218" s="9"/>
      <c r="I218" s="12"/>
      <c r="J218" s="12">
        <v>150</v>
      </c>
      <c r="K218" s="12"/>
      <c r="L218" s="12">
        <v>10067</v>
      </c>
      <c r="M218" s="11">
        <f>L218*4+AI218-AJ218</f>
        <v>40268</v>
      </c>
      <c r="N218" s="13">
        <v>2013</v>
      </c>
      <c r="O218" s="12"/>
      <c r="P218" s="12"/>
      <c r="Q218" s="12"/>
      <c r="R218" s="12"/>
      <c r="S218" s="12">
        <v>38405</v>
      </c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3">
        <f>H218+I218+J218+K218+M218-N218</f>
        <v>38405</v>
      </c>
      <c r="AG218" s="13">
        <f>SUM(O218:AE218)</f>
        <v>38405</v>
      </c>
      <c r="AH218" s="13">
        <f>AF218-AG218</f>
        <v>0</v>
      </c>
      <c r="AI218" s="12"/>
      <c r="AJ218" s="12"/>
      <c r="AK218" s="12"/>
    </row>
    <row r="219" spans="1:37">
      <c r="A219" s="16">
        <v>35</v>
      </c>
      <c r="B219" s="17">
        <v>2130</v>
      </c>
      <c r="C219" s="14" t="s">
        <v>245</v>
      </c>
      <c r="D219" s="17" t="s">
        <v>23</v>
      </c>
      <c r="E219" s="17"/>
      <c r="F219" s="18" t="s">
        <v>177</v>
      </c>
      <c r="G219" s="18" t="s">
        <v>62</v>
      </c>
      <c r="H219" s="9"/>
      <c r="I219" s="12"/>
      <c r="J219" s="12">
        <v>150</v>
      </c>
      <c r="K219" s="12"/>
      <c r="L219" s="12">
        <v>0</v>
      </c>
      <c r="M219" s="11">
        <f>L219*4+AI219-AJ219</f>
        <v>0</v>
      </c>
      <c r="N219" s="13"/>
      <c r="O219" s="12"/>
      <c r="P219" s="12"/>
      <c r="Q219" s="12"/>
      <c r="R219" s="12"/>
      <c r="S219" s="12"/>
      <c r="T219" s="12"/>
      <c r="U219" s="12">
        <v>150</v>
      </c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3">
        <f>H219+I219+J219+K219+M219-N219</f>
        <v>150</v>
      </c>
      <c r="AG219" s="13">
        <f>SUM(O219:AE219)</f>
        <v>150</v>
      </c>
      <c r="AH219" s="13">
        <f>AF219-AG219</f>
        <v>0</v>
      </c>
      <c r="AI219" s="12"/>
      <c r="AJ219" s="12"/>
      <c r="AK219" s="12"/>
    </row>
    <row r="220" spans="1:37">
      <c r="A220" s="16">
        <v>36</v>
      </c>
      <c r="B220" s="23">
        <v>2093</v>
      </c>
      <c r="C220" s="24" t="s">
        <v>246</v>
      </c>
      <c r="D220" s="23" t="s">
        <v>28</v>
      </c>
      <c r="E220" s="23"/>
      <c r="F220" s="24" t="s">
        <v>177</v>
      </c>
      <c r="G220" s="24" t="s">
        <v>62</v>
      </c>
      <c r="H220" s="9"/>
      <c r="I220" s="12"/>
      <c r="J220" s="12">
        <v>150</v>
      </c>
      <c r="K220" s="12"/>
      <c r="L220" s="12">
        <v>5034</v>
      </c>
      <c r="M220" s="11">
        <f>L220*4+AI220-AJ220</f>
        <v>20136</v>
      </c>
      <c r="N220" s="13"/>
      <c r="O220" s="9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3">
        <f>H220+I220+J220+K220+M220-N220</f>
        <v>20286</v>
      </c>
      <c r="AG220" s="13">
        <f>SUM(O220:AE220)</f>
        <v>0</v>
      </c>
      <c r="AH220" s="13">
        <f>AF220-AG220</f>
        <v>20286</v>
      </c>
      <c r="AI220" s="12"/>
      <c r="AJ220" s="12"/>
      <c r="AK220" s="12"/>
    </row>
    <row r="221" spans="1:37">
      <c r="A221" s="10">
        <v>1</v>
      </c>
      <c r="B221" s="10">
        <v>1720</v>
      </c>
      <c r="C221" s="10" t="s">
        <v>247</v>
      </c>
      <c r="D221" s="11" t="s">
        <v>28</v>
      </c>
      <c r="E221" s="11"/>
      <c r="F221" s="11" t="s">
        <v>248</v>
      </c>
      <c r="G221" s="11" t="s">
        <v>26</v>
      </c>
      <c r="H221" s="9"/>
      <c r="I221" s="12"/>
      <c r="J221" s="12">
        <v>150</v>
      </c>
      <c r="K221" s="12"/>
      <c r="L221" s="12">
        <v>11517</v>
      </c>
      <c r="M221" s="11">
        <f>L221*4+AI221-AJ221</f>
        <v>46068</v>
      </c>
      <c r="N221" s="13"/>
      <c r="O221" s="12"/>
      <c r="P221" s="12"/>
      <c r="Q221" s="12"/>
      <c r="R221" s="12"/>
      <c r="S221" s="12"/>
      <c r="T221" s="12"/>
      <c r="U221" s="12">
        <v>11667</v>
      </c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3">
        <f>H221+I221+J221+K221+M221-N221</f>
        <v>46218</v>
      </c>
      <c r="AG221" s="13">
        <f>SUM(O221:AE221)</f>
        <v>11667</v>
      </c>
      <c r="AH221" s="13">
        <f>AF221-AG221</f>
        <v>34551</v>
      </c>
      <c r="AI221" s="12"/>
      <c r="AJ221" s="12"/>
      <c r="AK221" s="12"/>
    </row>
    <row r="222" spans="1:37">
      <c r="A222" s="10">
        <v>2</v>
      </c>
      <c r="B222" s="10">
        <v>1717</v>
      </c>
      <c r="C222" s="10" t="s">
        <v>249</v>
      </c>
      <c r="D222" s="11" t="s">
        <v>23</v>
      </c>
      <c r="E222" s="11"/>
      <c r="F222" s="11" t="s">
        <v>248</v>
      </c>
      <c r="G222" s="11" t="s">
        <v>26</v>
      </c>
      <c r="H222" s="9"/>
      <c r="I222" s="12"/>
      <c r="J222" s="12">
        <v>150</v>
      </c>
      <c r="K222" s="12"/>
      <c r="L222" s="12">
        <v>11517</v>
      </c>
      <c r="M222" s="11">
        <f>L222*4+AI222-AJ222</f>
        <v>46068</v>
      </c>
      <c r="N222" s="13"/>
      <c r="O222" s="12"/>
      <c r="P222" s="12"/>
      <c r="Q222" s="12"/>
      <c r="R222" s="12"/>
      <c r="S222" s="12"/>
      <c r="T222" s="12"/>
      <c r="U222" s="12"/>
      <c r="V222" s="12">
        <v>11667</v>
      </c>
      <c r="W222" s="12"/>
      <c r="X222" s="12"/>
      <c r="Y222" s="12"/>
      <c r="Z222" s="12"/>
      <c r="AA222" s="12"/>
      <c r="AB222" s="12"/>
      <c r="AC222" s="12"/>
      <c r="AD222" s="12"/>
      <c r="AE222" s="12"/>
      <c r="AF222" s="13">
        <f>H222+I222+J222+K222+M222-N222</f>
        <v>46218</v>
      </c>
      <c r="AG222" s="13">
        <f>SUM(O222:AE222)</f>
        <v>11667</v>
      </c>
      <c r="AH222" s="13">
        <f>AF222-AG222</f>
        <v>34551</v>
      </c>
      <c r="AI222" s="12"/>
      <c r="AJ222" s="12"/>
      <c r="AK222" s="12"/>
    </row>
    <row r="223" spans="1:37">
      <c r="A223" s="10">
        <v>3</v>
      </c>
      <c r="B223" s="10">
        <v>1686</v>
      </c>
      <c r="C223" s="10" t="s">
        <v>250</v>
      </c>
      <c r="D223" s="11" t="s">
        <v>28</v>
      </c>
      <c r="E223" s="11"/>
      <c r="F223" s="11" t="s">
        <v>248</v>
      </c>
      <c r="G223" s="11" t="s">
        <v>26</v>
      </c>
      <c r="H223" s="9"/>
      <c r="I223" s="12"/>
      <c r="J223" s="12">
        <v>150</v>
      </c>
      <c r="K223" s="12"/>
      <c r="L223" s="12">
        <v>11517</v>
      </c>
      <c r="M223" s="11">
        <f>L223*4+AI223-AJ223</f>
        <v>46068</v>
      </c>
      <c r="N223" s="13"/>
      <c r="O223" s="12"/>
      <c r="P223" s="12"/>
      <c r="Q223" s="12"/>
      <c r="R223" s="12"/>
      <c r="S223" s="12">
        <v>11667</v>
      </c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3">
        <f>H223+I223+J223+K223+M223-N223</f>
        <v>46218</v>
      </c>
      <c r="AG223" s="13">
        <f>SUM(O223:AE223)</f>
        <v>11667</v>
      </c>
      <c r="AH223" s="13">
        <f>AF223-AG223</f>
        <v>34551</v>
      </c>
      <c r="AI223" s="12"/>
      <c r="AJ223" s="12"/>
      <c r="AK223" s="12"/>
    </row>
    <row r="224" spans="1:37">
      <c r="A224" s="10">
        <v>4</v>
      </c>
      <c r="B224" s="26">
        <v>2123</v>
      </c>
      <c r="C224" s="26" t="s">
        <v>251</v>
      </c>
      <c r="D224" s="27" t="s">
        <v>28</v>
      </c>
      <c r="E224" s="27"/>
      <c r="F224" s="27" t="s">
        <v>248</v>
      </c>
      <c r="G224" s="27" t="s">
        <v>26</v>
      </c>
      <c r="H224" s="9"/>
      <c r="I224" s="12"/>
      <c r="J224" s="12">
        <v>150</v>
      </c>
      <c r="K224" s="12"/>
      <c r="L224" s="12">
        <v>5759</v>
      </c>
      <c r="M224" s="11">
        <f>L224*4+AI224-AJ224</f>
        <v>23036</v>
      </c>
      <c r="N224" s="13"/>
      <c r="O224" s="12"/>
      <c r="P224" s="12"/>
      <c r="Q224" s="12"/>
      <c r="R224" s="12"/>
      <c r="S224" s="12"/>
      <c r="T224" s="12">
        <v>1945</v>
      </c>
      <c r="U224" s="12">
        <v>1945</v>
      </c>
      <c r="V224" s="12">
        <v>1945</v>
      </c>
      <c r="W224" s="12"/>
      <c r="X224" s="12"/>
      <c r="Y224" s="12"/>
      <c r="Z224" s="12"/>
      <c r="AA224" s="12"/>
      <c r="AB224" s="12"/>
      <c r="AC224" s="12"/>
      <c r="AD224" s="12"/>
      <c r="AE224" s="12"/>
      <c r="AF224" s="13">
        <f>H224+I224+J224+K224+M224-N224</f>
        <v>23186</v>
      </c>
      <c r="AG224" s="13">
        <f>SUM(O224:AE224)</f>
        <v>5835</v>
      </c>
      <c r="AH224" s="13">
        <f>AF224-AG224</f>
        <v>17351</v>
      </c>
      <c r="AI224" s="12"/>
      <c r="AJ224" s="12"/>
      <c r="AK224" s="12"/>
    </row>
    <row r="225" spans="1:37">
      <c r="A225" s="10">
        <v>5</v>
      </c>
      <c r="B225" s="10">
        <v>1689</v>
      </c>
      <c r="C225" s="10" t="s">
        <v>252</v>
      </c>
      <c r="D225" s="11" t="s">
        <v>28</v>
      </c>
      <c r="E225" s="11"/>
      <c r="F225" s="11" t="s">
        <v>248</v>
      </c>
      <c r="G225" s="11" t="s">
        <v>26</v>
      </c>
      <c r="H225" s="9"/>
      <c r="I225" s="12"/>
      <c r="J225" s="12">
        <v>150</v>
      </c>
      <c r="K225" s="12"/>
      <c r="L225" s="12">
        <v>11517</v>
      </c>
      <c r="M225" s="11">
        <f>L225*4+AI225-AJ225</f>
        <v>46068</v>
      </c>
      <c r="N225" s="13"/>
      <c r="O225" s="12"/>
      <c r="P225" s="12"/>
      <c r="Q225" s="12"/>
      <c r="R225" s="12"/>
      <c r="S225" s="12"/>
      <c r="T225" s="12"/>
      <c r="U225" s="12"/>
      <c r="V225" s="12">
        <v>11667</v>
      </c>
      <c r="W225" s="12"/>
      <c r="X225" s="12"/>
      <c r="Y225" s="12"/>
      <c r="Z225" s="12"/>
      <c r="AA225" s="12"/>
      <c r="AB225" s="12"/>
      <c r="AC225" s="12"/>
      <c r="AD225" s="12"/>
      <c r="AE225" s="12"/>
      <c r="AF225" s="13">
        <f>H225+I225+J225+K225+M225-N225</f>
        <v>46218</v>
      </c>
      <c r="AG225" s="13">
        <f>SUM(O225:AE225)</f>
        <v>11667</v>
      </c>
      <c r="AH225" s="13">
        <f>AF225-AG225</f>
        <v>34551</v>
      </c>
      <c r="AI225" s="12"/>
      <c r="AJ225" s="12"/>
      <c r="AK225" s="12"/>
    </row>
    <row r="226" spans="1:37">
      <c r="A226" s="10">
        <v>6</v>
      </c>
      <c r="B226" s="10">
        <v>1728</v>
      </c>
      <c r="C226" s="10" t="s">
        <v>253</v>
      </c>
      <c r="D226" s="11" t="s">
        <v>28</v>
      </c>
      <c r="E226" s="11"/>
      <c r="F226" s="11" t="s">
        <v>248</v>
      </c>
      <c r="G226" s="11" t="s">
        <v>26</v>
      </c>
      <c r="H226" s="9"/>
      <c r="I226" s="12"/>
      <c r="J226" s="12">
        <v>150</v>
      </c>
      <c r="K226" s="12"/>
      <c r="L226" s="12">
        <v>11517</v>
      </c>
      <c r="M226" s="11">
        <f>L226*4+AI226-AJ226</f>
        <v>46068</v>
      </c>
      <c r="N226" s="13">
        <v>2303</v>
      </c>
      <c r="O226" s="12"/>
      <c r="P226" s="12"/>
      <c r="Q226" s="12"/>
      <c r="R226" s="12"/>
      <c r="S226" s="12">
        <v>43915</v>
      </c>
      <c r="T226" s="12"/>
      <c r="U226" s="12"/>
      <c r="V226" s="12"/>
      <c r="W226" s="12"/>
      <c r="X226" s="12"/>
      <c r="Y226" s="12"/>
      <c r="Z226" s="12"/>
      <c r="AA226" s="12"/>
      <c r="AB226" s="12"/>
      <c r="AC226" s="12"/>
      <c r="AD226" s="12"/>
      <c r="AE226" s="12"/>
      <c r="AF226" s="13">
        <f>H226+I226+J226+K226+M226-N226</f>
        <v>43915</v>
      </c>
      <c r="AG226" s="13">
        <f>SUM(O226:AE226)</f>
        <v>43915</v>
      </c>
      <c r="AH226" s="13">
        <f>AF226-AG226</f>
        <v>0</v>
      </c>
      <c r="AI226" s="12"/>
      <c r="AJ226" s="12"/>
      <c r="AK226" s="12"/>
    </row>
    <row r="227" spans="1:37">
      <c r="A227" s="10">
        <v>7</v>
      </c>
      <c r="B227" s="10">
        <v>1691</v>
      </c>
      <c r="C227" s="10" t="s">
        <v>254</v>
      </c>
      <c r="D227" s="11" t="s">
        <v>23</v>
      </c>
      <c r="E227" s="11"/>
      <c r="F227" s="11" t="s">
        <v>248</v>
      </c>
      <c r="G227" s="11" t="s">
        <v>26</v>
      </c>
      <c r="H227" s="9"/>
      <c r="I227" s="12"/>
      <c r="J227" s="12">
        <v>150</v>
      </c>
      <c r="K227" s="12"/>
      <c r="L227" s="12">
        <v>11517</v>
      </c>
      <c r="M227" s="11">
        <f>L227*4+AI227-AJ227</f>
        <v>46068</v>
      </c>
      <c r="N227" s="13"/>
      <c r="O227" s="12"/>
      <c r="P227" s="12"/>
      <c r="Q227" s="12"/>
      <c r="R227" s="12"/>
      <c r="S227" s="12">
        <v>11667</v>
      </c>
      <c r="T227" s="12"/>
      <c r="U227" s="12"/>
      <c r="V227" s="12"/>
      <c r="W227" s="12"/>
      <c r="X227" s="12"/>
      <c r="Y227" s="12"/>
      <c r="Z227" s="12"/>
      <c r="AA227" s="12"/>
      <c r="AB227" s="12"/>
      <c r="AC227" s="12"/>
      <c r="AD227" s="12"/>
      <c r="AE227" s="12"/>
      <c r="AF227" s="13">
        <f>H227+I227+J227+K227+M227-N227</f>
        <v>46218</v>
      </c>
      <c r="AG227" s="13">
        <f>SUM(O227:AE227)</f>
        <v>11667</v>
      </c>
      <c r="AH227" s="13">
        <f>AF227-AG227</f>
        <v>34551</v>
      </c>
      <c r="AI227" s="12"/>
      <c r="AJ227" s="12"/>
      <c r="AK227" s="12"/>
    </row>
    <row r="228" spans="1:37">
      <c r="A228" s="10">
        <v>8</v>
      </c>
      <c r="B228" s="10">
        <v>1955</v>
      </c>
      <c r="C228" s="10" t="s">
        <v>255</v>
      </c>
      <c r="D228" s="11" t="s">
        <v>23</v>
      </c>
      <c r="E228" s="11"/>
      <c r="F228" s="11" t="s">
        <v>248</v>
      </c>
      <c r="G228" s="11" t="s">
        <v>26</v>
      </c>
      <c r="H228" s="9"/>
      <c r="I228" s="12"/>
      <c r="J228" s="12">
        <v>150</v>
      </c>
      <c r="K228" s="12"/>
      <c r="L228" s="12">
        <v>11517</v>
      </c>
      <c r="M228" s="11">
        <f>L228*4+AI228-AJ228</f>
        <v>46068</v>
      </c>
      <c r="N228" s="13"/>
      <c r="O228" s="12"/>
      <c r="P228" s="12"/>
      <c r="Q228" s="12"/>
      <c r="R228" s="12"/>
      <c r="S228" s="12">
        <v>11667</v>
      </c>
      <c r="T228" s="12"/>
      <c r="U228" s="12"/>
      <c r="V228" s="12">
        <v>11517</v>
      </c>
      <c r="W228" s="12"/>
      <c r="X228" s="12"/>
      <c r="Y228" s="12"/>
      <c r="Z228" s="12"/>
      <c r="AA228" s="12"/>
      <c r="AB228" s="12"/>
      <c r="AC228" s="12"/>
      <c r="AD228" s="12"/>
      <c r="AE228" s="12"/>
      <c r="AF228" s="13">
        <f>H228+I228+J228+K228+M228-N228</f>
        <v>46218</v>
      </c>
      <c r="AG228" s="13">
        <f>SUM(O228:AE228)</f>
        <v>23184</v>
      </c>
      <c r="AH228" s="13">
        <f>AF228-AG228</f>
        <v>23034</v>
      </c>
      <c r="AI228" s="12"/>
      <c r="AJ228" s="12"/>
      <c r="AK228" s="12"/>
    </row>
    <row r="229" spans="1:37">
      <c r="A229" s="10">
        <v>9</v>
      </c>
      <c r="B229" s="10">
        <v>1694</v>
      </c>
      <c r="C229" s="10" t="s">
        <v>256</v>
      </c>
      <c r="D229" s="11" t="s">
        <v>23</v>
      </c>
      <c r="E229" s="11"/>
      <c r="F229" s="11" t="s">
        <v>248</v>
      </c>
      <c r="G229" s="11" t="s">
        <v>26</v>
      </c>
      <c r="H229" s="9"/>
      <c r="I229" s="12"/>
      <c r="J229" s="12">
        <v>150</v>
      </c>
      <c r="K229" s="12"/>
      <c r="L229" s="12">
        <v>11517</v>
      </c>
      <c r="M229" s="11">
        <f>L229*4+AI229-AJ229</f>
        <v>46068</v>
      </c>
      <c r="N229" s="13"/>
      <c r="O229" s="12"/>
      <c r="P229" s="12"/>
      <c r="Q229" s="12"/>
      <c r="R229" s="12"/>
      <c r="S229" s="12">
        <v>11667</v>
      </c>
      <c r="T229" s="12"/>
      <c r="U229" s="12"/>
      <c r="V229" s="12">
        <v>11517</v>
      </c>
      <c r="W229" s="12"/>
      <c r="X229" s="12"/>
      <c r="Y229" s="12"/>
      <c r="Z229" s="12"/>
      <c r="AA229" s="12"/>
      <c r="AB229" s="12"/>
      <c r="AC229" s="12"/>
      <c r="AD229" s="12"/>
      <c r="AE229" s="12"/>
      <c r="AF229" s="13">
        <f>H229+I229+J229+K229+M229-N229</f>
        <v>46218</v>
      </c>
      <c r="AG229" s="13">
        <f>SUM(O229:AE229)</f>
        <v>23184</v>
      </c>
      <c r="AH229" s="13">
        <f>AF229-AG229</f>
        <v>23034</v>
      </c>
      <c r="AI229" s="12"/>
      <c r="AJ229" s="12"/>
      <c r="AK229" s="12"/>
    </row>
    <row r="230" spans="1:37">
      <c r="A230" s="10">
        <v>10</v>
      </c>
      <c r="B230" s="10">
        <v>1672</v>
      </c>
      <c r="C230" s="10" t="s">
        <v>257</v>
      </c>
      <c r="D230" s="11" t="s">
        <v>28</v>
      </c>
      <c r="E230" s="11"/>
      <c r="F230" s="11" t="s">
        <v>248</v>
      </c>
      <c r="G230" s="11" t="s">
        <v>26</v>
      </c>
      <c r="H230" s="9"/>
      <c r="I230" s="12"/>
      <c r="J230" s="12">
        <v>150</v>
      </c>
      <c r="K230" s="12"/>
      <c r="L230" s="12">
        <v>11517</v>
      </c>
      <c r="M230" s="11">
        <f>L230*4+AI230-AJ230</f>
        <v>46068</v>
      </c>
      <c r="N230" s="13"/>
      <c r="O230" s="12"/>
      <c r="P230" s="12"/>
      <c r="Q230" s="12"/>
      <c r="R230" s="12"/>
      <c r="S230" s="12">
        <v>11667</v>
      </c>
      <c r="T230" s="12"/>
      <c r="U230" s="12"/>
      <c r="V230" s="12"/>
      <c r="W230" s="12"/>
      <c r="X230" s="12"/>
      <c r="Y230" s="12"/>
      <c r="Z230" s="12"/>
      <c r="AA230" s="12"/>
      <c r="AB230" s="12"/>
      <c r="AC230" s="12"/>
      <c r="AD230" s="12"/>
      <c r="AE230" s="12"/>
      <c r="AF230" s="13">
        <f>H230+I230+J230+K230+M230-N230</f>
        <v>46218</v>
      </c>
      <c r="AG230" s="13">
        <f>SUM(O230:AE230)</f>
        <v>11667</v>
      </c>
      <c r="AH230" s="13">
        <f>AF230-AG230</f>
        <v>34551</v>
      </c>
      <c r="AI230" s="12"/>
      <c r="AJ230" s="12"/>
      <c r="AK230" s="12"/>
    </row>
    <row r="231" spans="1:37">
      <c r="A231" s="10">
        <v>11</v>
      </c>
      <c r="B231" s="10">
        <v>1673</v>
      </c>
      <c r="C231" s="10" t="s">
        <v>258</v>
      </c>
      <c r="D231" s="11" t="s">
        <v>28</v>
      </c>
      <c r="E231" s="11"/>
      <c r="F231" s="11" t="s">
        <v>248</v>
      </c>
      <c r="G231" s="11" t="s">
        <v>26</v>
      </c>
      <c r="H231" s="9"/>
      <c r="I231" s="12"/>
      <c r="J231" s="12">
        <v>150</v>
      </c>
      <c r="K231" s="12"/>
      <c r="L231" s="12">
        <v>11517</v>
      </c>
      <c r="M231" s="11">
        <f>L231*4+AI231-AJ231</f>
        <v>46068</v>
      </c>
      <c r="N231" s="13"/>
      <c r="O231" s="12"/>
      <c r="P231" s="12"/>
      <c r="Q231" s="12"/>
      <c r="R231" s="12"/>
      <c r="S231" s="12">
        <v>11667</v>
      </c>
      <c r="T231" s="12"/>
      <c r="U231" s="12"/>
      <c r="V231" s="12"/>
      <c r="W231" s="12"/>
      <c r="X231" s="12"/>
      <c r="Y231" s="12"/>
      <c r="Z231" s="12"/>
      <c r="AA231" s="12"/>
      <c r="AB231" s="12"/>
      <c r="AC231" s="12"/>
      <c r="AD231" s="12"/>
      <c r="AE231" s="12"/>
      <c r="AF231" s="13">
        <f>H231+I231+J231+K231+M231-N231</f>
        <v>46218</v>
      </c>
      <c r="AG231" s="13">
        <f>SUM(O231:AE231)</f>
        <v>11667</v>
      </c>
      <c r="AH231" s="13">
        <f>AF231-AG231</f>
        <v>34551</v>
      </c>
      <c r="AI231" s="12"/>
      <c r="AJ231" s="12"/>
      <c r="AK231" s="12"/>
    </row>
    <row r="232" spans="1:37">
      <c r="A232" s="10">
        <v>12</v>
      </c>
      <c r="B232" s="10">
        <v>1695</v>
      </c>
      <c r="C232" s="10" t="s">
        <v>259</v>
      </c>
      <c r="D232" s="11" t="s">
        <v>23</v>
      </c>
      <c r="E232" s="11"/>
      <c r="F232" s="11" t="s">
        <v>248</v>
      </c>
      <c r="G232" s="11" t="s">
        <v>26</v>
      </c>
      <c r="H232" s="9"/>
      <c r="I232" s="12"/>
      <c r="J232" s="12">
        <v>150</v>
      </c>
      <c r="K232" s="12"/>
      <c r="L232" s="12">
        <v>11517</v>
      </c>
      <c r="M232" s="11">
        <f>L232*4+AI232-AJ232</f>
        <v>46068</v>
      </c>
      <c r="N232" s="13"/>
      <c r="O232" s="12"/>
      <c r="P232" s="12"/>
      <c r="Q232" s="12"/>
      <c r="R232" s="12"/>
      <c r="S232" s="12"/>
      <c r="T232" s="12"/>
      <c r="U232" s="12"/>
      <c r="V232" s="12">
        <v>11667</v>
      </c>
      <c r="W232" s="12"/>
      <c r="X232" s="12"/>
      <c r="Y232" s="12"/>
      <c r="Z232" s="12"/>
      <c r="AA232" s="12"/>
      <c r="AB232" s="12"/>
      <c r="AC232" s="12"/>
      <c r="AD232" s="12"/>
      <c r="AE232" s="12"/>
      <c r="AF232" s="13">
        <f>H232+I232+J232+K232+M232-N232</f>
        <v>46218</v>
      </c>
      <c r="AG232" s="13">
        <f>SUM(O232:AE232)</f>
        <v>11667</v>
      </c>
      <c r="AH232" s="13">
        <f>AF232-AG232</f>
        <v>34551</v>
      </c>
      <c r="AI232" s="12"/>
      <c r="AJ232" s="12"/>
      <c r="AK232" s="12"/>
    </row>
    <row r="233" spans="1:37">
      <c r="A233" s="10">
        <v>13</v>
      </c>
      <c r="B233" s="10">
        <v>1676</v>
      </c>
      <c r="C233" s="10" t="s">
        <v>260</v>
      </c>
      <c r="D233" s="11" t="s">
        <v>28</v>
      </c>
      <c r="E233" s="11"/>
      <c r="F233" s="11" t="s">
        <v>248</v>
      </c>
      <c r="G233" s="11" t="s">
        <v>26</v>
      </c>
      <c r="H233" s="9"/>
      <c r="I233" s="12"/>
      <c r="J233" s="12">
        <v>150</v>
      </c>
      <c r="K233" s="12"/>
      <c r="L233" s="12">
        <v>11517</v>
      </c>
      <c r="M233" s="11">
        <f>L233*4+AI233-AJ233</f>
        <v>46068</v>
      </c>
      <c r="N233" s="13"/>
      <c r="O233" s="12"/>
      <c r="P233" s="12"/>
      <c r="Q233" s="12"/>
      <c r="R233" s="12"/>
      <c r="S233" s="12">
        <v>11667</v>
      </c>
      <c r="T233" s="12"/>
      <c r="U233" s="12"/>
      <c r="V233" s="12"/>
      <c r="W233" s="12"/>
      <c r="X233" s="12"/>
      <c r="Y233" s="12"/>
      <c r="Z233" s="12"/>
      <c r="AA233" s="12"/>
      <c r="AB233" s="12"/>
      <c r="AC233" s="12"/>
      <c r="AD233" s="12"/>
      <c r="AE233" s="12"/>
      <c r="AF233" s="13">
        <f>H233+I233+J233+K233+M233-N233</f>
        <v>46218</v>
      </c>
      <c r="AG233" s="13">
        <f>SUM(O233:AE233)</f>
        <v>11667</v>
      </c>
      <c r="AH233" s="13">
        <f>AF233-AG233</f>
        <v>34551</v>
      </c>
      <c r="AI233" s="12"/>
      <c r="AJ233" s="12"/>
      <c r="AK233" s="12"/>
    </row>
    <row r="234" spans="1:37">
      <c r="A234" s="10">
        <v>14</v>
      </c>
      <c r="B234" s="10">
        <v>1678</v>
      </c>
      <c r="C234" s="10" t="s">
        <v>261</v>
      </c>
      <c r="D234" s="11" t="s">
        <v>28</v>
      </c>
      <c r="E234" s="11"/>
      <c r="F234" s="11" t="s">
        <v>248</v>
      </c>
      <c r="G234" s="11" t="s">
        <v>26</v>
      </c>
      <c r="H234" s="9"/>
      <c r="I234" s="12"/>
      <c r="J234" s="12">
        <v>150</v>
      </c>
      <c r="K234" s="12"/>
      <c r="L234" s="12">
        <v>11517</v>
      </c>
      <c r="M234" s="11">
        <f>L234*4+AI234-AJ234</f>
        <v>46068</v>
      </c>
      <c r="N234" s="13"/>
      <c r="O234" s="12"/>
      <c r="P234" s="12"/>
      <c r="Q234" s="12"/>
      <c r="R234" s="12"/>
      <c r="S234" s="12">
        <v>11667</v>
      </c>
      <c r="T234" s="12"/>
      <c r="U234" s="12"/>
      <c r="V234" s="12">
        <v>11517</v>
      </c>
      <c r="W234" s="12"/>
      <c r="X234" s="12"/>
      <c r="Y234" s="12"/>
      <c r="Z234" s="12"/>
      <c r="AA234" s="12"/>
      <c r="AB234" s="12"/>
      <c r="AC234" s="12"/>
      <c r="AD234" s="12"/>
      <c r="AE234" s="12"/>
      <c r="AF234" s="13">
        <f>H234+I234+J234+K234+M234-N234</f>
        <v>46218</v>
      </c>
      <c r="AG234" s="13">
        <f>SUM(O234:AE234)</f>
        <v>23184</v>
      </c>
      <c r="AH234" s="13">
        <f>AF234-AG234</f>
        <v>23034</v>
      </c>
      <c r="AI234" s="12"/>
      <c r="AJ234" s="12"/>
      <c r="AK234" s="12"/>
    </row>
    <row r="235" spans="1:37">
      <c r="A235" s="10">
        <v>15</v>
      </c>
      <c r="B235" s="10">
        <v>1679</v>
      </c>
      <c r="C235" s="10" t="s">
        <v>262</v>
      </c>
      <c r="D235" s="11" t="s">
        <v>28</v>
      </c>
      <c r="E235" s="11"/>
      <c r="F235" s="11" t="s">
        <v>248</v>
      </c>
      <c r="G235" s="11" t="s">
        <v>26</v>
      </c>
      <c r="H235" s="9"/>
      <c r="I235" s="12"/>
      <c r="J235" s="12">
        <v>150</v>
      </c>
      <c r="K235" s="12"/>
      <c r="L235" s="12">
        <v>11517</v>
      </c>
      <c r="M235" s="11">
        <f>L235*4+AI235-AJ235</f>
        <v>46068</v>
      </c>
      <c r="N235" s="13"/>
      <c r="O235" s="12"/>
      <c r="P235" s="12"/>
      <c r="Q235" s="12"/>
      <c r="R235" s="12"/>
      <c r="S235" s="12">
        <v>11667</v>
      </c>
      <c r="T235" s="12"/>
      <c r="U235" s="12"/>
      <c r="V235" s="12">
        <v>11517</v>
      </c>
      <c r="W235" s="12"/>
      <c r="X235" s="12"/>
      <c r="Y235" s="12"/>
      <c r="Z235" s="12"/>
      <c r="AA235" s="12"/>
      <c r="AB235" s="12"/>
      <c r="AC235" s="12"/>
      <c r="AD235" s="12"/>
      <c r="AE235" s="12"/>
      <c r="AF235" s="13">
        <f>H235+I235+J235+K235+M235-N235</f>
        <v>46218</v>
      </c>
      <c r="AG235" s="13">
        <f>SUM(O235:AE235)</f>
        <v>23184</v>
      </c>
      <c r="AH235" s="13">
        <f>AF235-AG235</f>
        <v>23034</v>
      </c>
      <c r="AI235" s="12"/>
      <c r="AJ235" s="12"/>
      <c r="AK235" s="12"/>
    </row>
    <row r="236" spans="1:37">
      <c r="A236" s="10">
        <v>16</v>
      </c>
      <c r="B236" s="10">
        <v>1710</v>
      </c>
      <c r="C236" s="10" t="s">
        <v>263</v>
      </c>
      <c r="D236" s="11" t="s">
        <v>23</v>
      </c>
      <c r="E236" s="11"/>
      <c r="F236" s="11" t="s">
        <v>248</v>
      </c>
      <c r="G236" s="11" t="s">
        <v>26</v>
      </c>
      <c r="H236" s="9"/>
      <c r="I236" s="12"/>
      <c r="J236" s="12">
        <v>150</v>
      </c>
      <c r="K236" s="12"/>
      <c r="L236" s="12">
        <v>11517</v>
      </c>
      <c r="M236" s="11">
        <f>L236*4+AI236-AJ236</f>
        <v>46068</v>
      </c>
      <c r="N236" s="13"/>
      <c r="O236" s="12"/>
      <c r="P236" s="12"/>
      <c r="Q236" s="12"/>
      <c r="R236" s="12"/>
      <c r="S236" s="12"/>
      <c r="T236" s="12">
        <v>11667</v>
      </c>
      <c r="U236" s="12"/>
      <c r="V236" s="12"/>
      <c r="W236" s="12"/>
      <c r="X236" s="12"/>
      <c r="Y236" s="12"/>
      <c r="Z236" s="12"/>
      <c r="AA236" s="12"/>
      <c r="AB236" s="12"/>
      <c r="AC236" s="12"/>
      <c r="AD236" s="12"/>
      <c r="AE236" s="12"/>
      <c r="AF236" s="13">
        <f>H236+I236+J236+K236+M236-N236</f>
        <v>46218</v>
      </c>
      <c r="AG236" s="13">
        <f>SUM(O236:AE236)</f>
        <v>11667</v>
      </c>
      <c r="AH236" s="13">
        <f>AF236-AG236</f>
        <v>34551</v>
      </c>
      <c r="AI236" s="12"/>
      <c r="AJ236" s="12"/>
      <c r="AK236" s="12"/>
    </row>
    <row r="237" spans="1:37">
      <c r="A237" s="10">
        <v>17</v>
      </c>
      <c r="B237" s="14">
        <v>2125</v>
      </c>
      <c r="C237" s="14" t="s">
        <v>264</v>
      </c>
      <c r="D237" s="15" t="s">
        <v>23</v>
      </c>
      <c r="E237" s="15"/>
      <c r="F237" s="15" t="s">
        <v>248</v>
      </c>
      <c r="G237" s="15" t="s">
        <v>26</v>
      </c>
      <c r="H237" s="9"/>
      <c r="I237" s="12"/>
      <c r="J237" s="12">
        <v>150</v>
      </c>
      <c r="K237" s="12"/>
      <c r="L237" s="12">
        <v>0</v>
      </c>
      <c r="M237" s="11">
        <f>L237*4+AI237-AJ237</f>
        <v>0</v>
      </c>
      <c r="N237" s="13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  <c r="AA237" s="12"/>
      <c r="AB237" s="12"/>
      <c r="AC237" s="12"/>
      <c r="AD237" s="12"/>
      <c r="AE237" s="12"/>
      <c r="AF237" s="13">
        <f>H237+I237+J237+K237+M237-N237</f>
        <v>150</v>
      </c>
      <c r="AG237" s="13">
        <f>SUM(O237:AE237)</f>
        <v>0</v>
      </c>
      <c r="AH237" s="13">
        <f>AF237-AG237</f>
        <v>150</v>
      </c>
      <c r="AI237" s="12"/>
      <c r="AJ237" s="12"/>
      <c r="AK237" s="12"/>
    </row>
    <row r="238" spans="1:37">
      <c r="A238" s="10">
        <v>18</v>
      </c>
      <c r="B238" s="14">
        <v>2119</v>
      </c>
      <c r="C238" s="14" t="s">
        <v>265</v>
      </c>
      <c r="D238" s="15" t="s">
        <v>28</v>
      </c>
      <c r="E238" s="15"/>
      <c r="F238" s="15" t="s">
        <v>248</v>
      </c>
      <c r="G238" s="15" t="s">
        <v>26</v>
      </c>
      <c r="H238" s="9"/>
      <c r="I238" s="12"/>
      <c r="J238" s="12">
        <v>150</v>
      </c>
      <c r="K238" s="12"/>
      <c r="L238" s="12">
        <v>0</v>
      </c>
      <c r="M238" s="11">
        <f>L238*4+AI238-AJ238</f>
        <v>0</v>
      </c>
      <c r="N238" s="13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  <c r="AA238" s="12"/>
      <c r="AB238" s="12"/>
      <c r="AC238" s="12"/>
      <c r="AD238" s="12"/>
      <c r="AE238" s="12"/>
      <c r="AF238" s="13">
        <f>H238+I238+J238+K238+M238-N238</f>
        <v>150</v>
      </c>
      <c r="AG238" s="13">
        <f>SUM(O238:AE238)</f>
        <v>0</v>
      </c>
      <c r="AH238" s="13">
        <f>AF238-AG238</f>
        <v>150</v>
      </c>
      <c r="AI238" s="12"/>
      <c r="AJ238" s="12"/>
      <c r="AK238" s="12"/>
    </row>
    <row r="239" spans="1:37">
      <c r="A239" s="10">
        <v>19</v>
      </c>
      <c r="B239" s="10">
        <v>1713</v>
      </c>
      <c r="C239" s="10" t="s">
        <v>266</v>
      </c>
      <c r="D239" s="11" t="s">
        <v>28</v>
      </c>
      <c r="E239" s="11"/>
      <c r="F239" s="11" t="s">
        <v>248</v>
      </c>
      <c r="G239" s="11" t="s">
        <v>26</v>
      </c>
      <c r="H239" s="9"/>
      <c r="I239" s="12"/>
      <c r="J239" s="12">
        <v>150</v>
      </c>
      <c r="K239" s="12"/>
      <c r="L239" s="12">
        <v>11517</v>
      </c>
      <c r="M239" s="11">
        <f>L239*4+AI239-AJ239</f>
        <v>46068</v>
      </c>
      <c r="N239" s="13"/>
      <c r="O239" s="12"/>
      <c r="P239" s="12"/>
      <c r="Q239" s="12"/>
      <c r="R239" s="12"/>
      <c r="S239" s="12"/>
      <c r="T239" s="12"/>
      <c r="U239" s="12"/>
      <c r="V239" s="12">
        <v>23184</v>
      </c>
      <c r="W239" s="12"/>
      <c r="X239" s="12"/>
      <c r="Y239" s="12"/>
      <c r="Z239" s="12"/>
      <c r="AA239" s="12"/>
      <c r="AB239" s="12"/>
      <c r="AC239" s="12"/>
      <c r="AD239" s="12"/>
      <c r="AE239" s="12"/>
      <c r="AF239" s="13">
        <f>H239+I239+J239+K239+M239-N239</f>
        <v>46218</v>
      </c>
      <c r="AG239" s="13">
        <f>SUM(O239:AE239)</f>
        <v>23184</v>
      </c>
      <c r="AH239" s="13">
        <f>AF239-AG239</f>
        <v>23034</v>
      </c>
      <c r="AI239" s="12"/>
      <c r="AJ239" s="12"/>
      <c r="AK239" s="12"/>
    </row>
    <row r="240" spans="1:37">
      <c r="A240" s="10">
        <v>20</v>
      </c>
      <c r="B240" s="10">
        <v>1906</v>
      </c>
      <c r="C240" s="10" t="s">
        <v>267</v>
      </c>
      <c r="D240" s="11" t="s">
        <v>23</v>
      </c>
      <c r="E240" s="11"/>
      <c r="F240" s="11" t="s">
        <v>248</v>
      </c>
      <c r="G240" s="11" t="s">
        <v>26</v>
      </c>
      <c r="H240" s="9"/>
      <c r="I240" s="12"/>
      <c r="J240" s="12">
        <v>150</v>
      </c>
      <c r="K240" s="12"/>
      <c r="L240" s="12">
        <v>11517</v>
      </c>
      <c r="M240" s="11">
        <f>L240*4+AI240-AJ240</f>
        <v>46068</v>
      </c>
      <c r="N240" s="13"/>
      <c r="O240" s="12"/>
      <c r="P240" s="12"/>
      <c r="Q240" s="12"/>
      <c r="R240" s="12"/>
      <c r="S240" s="12">
        <v>11667</v>
      </c>
      <c r="T240" s="12"/>
      <c r="U240" s="12"/>
      <c r="V240" s="12"/>
      <c r="W240" s="12"/>
      <c r="X240" s="12"/>
      <c r="Y240" s="12"/>
      <c r="Z240" s="12"/>
      <c r="AA240" s="12"/>
      <c r="AB240" s="12"/>
      <c r="AC240" s="12"/>
      <c r="AD240" s="12"/>
      <c r="AE240" s="12"/>
      <c r="AF240" s="13">
        <f>H240+I240+J240+K240+M240-N240</f>
        <v>46218</v>
      </c>
      <c r="AG240" s="13">
        <f>SUM(O240:AE240)</f>
        <v>11667</v>
      </c>
      <c r="AH240" s="13">
        <f>AF240-AG240</f>
        <v>34551</v>
      </c>
      <c r="AI240" s="12"/>
      <c r="AJ240" s="12"/>
      <c r="AK240" s="12"/>
    </row>
    <row r="241" spans="1:37">
      <c r="A241" s="10">
        <v>21</v>
      </c>
      <c r="B241" s="16">
        <v>2109</v>
      </c>
      <c r="C241" s="16" t="s">
        <v>268</v>
      </c>
      <c r="D241" s="16" t="s">
        <v>28</v>
      </c>
      <c r="E241" s="16"/>
      <c r="F241" s="11" t="s">
        <v>248</v>
      </c>
      <c r="G241" s="11" t="s">
        <v>26</v>
      </c>
      <c r="H241" s="9"/>
      <c r="I241" s="12"/>
      <c r="J241" s="12">
        <v>150</v>
      </c>
      <c r="K241" s="12"/>
      <c r="L241" s="12">
        <v>11517</v>
      </c>
      <c r="M241" s="11">
        <f>L241*4+AI241-AJ241</f>
        <v>46068</v>
      </c>
      <c r="N241" s="13"/>
      <c r="O241" s="9"/>
      <c r="P241" s="12"/>
      <c r="Q241" s="12"/>
      <c r="R241" s="12"/>
      <c r="S241" s="12"/>
      <c r="T241" s="12">
        <v>11667</v>
      </c>
      <c r="U241" s="12"/>
      <c r="V241" s="12"/>
      <c r="W241" s="12"/>
      <c r="X241" s="12"/>
      <c r="Y241" s="12"/>
      <c r="Z241" s="12"/>
      <c r="AA241" s="12"/>
      <c r="AB241" s="12"/>
      <c r="AC241" s="12"/>
      <c r="AD241" s="12"/>
      <c r="AE241" s="12"/>
      <c r="AF241" s="13">
        <f>H241+I241+J241+K241+M241-N241</f>
        <v>46218</v>
      </c>
      <c r="AG241" s="13">
        <f>SUM(O241:AE241)</f>
        <v>11667</v>
      </c>
      <c r="AH241" s="13">
        <f>AF241-AG241</f>
        <v>34551</v>
      </c>
      <c r="AI241" s="12"/>
      <c r="AJ241" s="12"/>
      <c r="AK241" s="12"/>
    </row>
    <row r="242" spans="1:37">
      <c r="A242" s="10">
        <v>22</v>
      </c>
      <c r="B242" s="10">
        <v>1683</v>
      </c>
      <c r="C242" s="10" t="s">
        <v>269</v>
      </c>
      <c r="D242" s="11" t="s">
        <v>23</v>
      </c>
      <c r="E242" s="11"/>
      <c r="F242" s="11" t="s">
        <v>248</v>
      </c>
      <c r="G242" s="11" t="s">
        <v>26</v>
      </c>
      <c r="H242" s="9"/>
      <c r="I242" s="12"/>
      <c r="J242" s="12">
        <v>150</v>
      </c>
      <c r="K242" s="12"/>
      <c r="L242" s="12">
        <v>11517</v>
      </c>
      <c r="M242" s="11">
        <f>L242*4+AI242-AJ242</f>
        <v>46068</v>
      </c>
      <c r="N242" s="13"/>
      <c r="O242" s="12"/>
      <c r="P242" s="12"/>
      <c r="Q242" s="12"/>
      <c r="R242" s="12"/>
      <c r="S242" s="12">
        <v>11667</v>
      </c>
      <c r="T242" s="12"/>
      <c r="U242" s="12"/>
      <c r="V242" s="12"/>
      <c r="W242" s="12"/>
      <c r="X242" s="12"/>
      <c r="Y242" s="12"/>
      <c r="Z242" s="12"/>
      <c r="AA242" s="12"/>
      <c r="AB242" s="12"/>
      <c r="AC242" s="12"/>
      <c r="AD242" s="12"/>
      <c r="AE242" s="12"/>
      <c r="AF242" s="13">
        <f>H242+I242+J242+K242+M242-N242</f>
        <v>46218</v>
      </c>
      <c r="AG242" s="13">
        <f>SUM(O242:AE242)</f>
        <v>11667</v>
      </c>
      <c r="AH242" s="13">
        <f>AF242-AG242</f>
        <v>34551</v>
      </c>
      <c r="AI242" s="12"/>
      <c r="AJ242" s="12"/>
      <c r="AK242" s="12"/>
    </row>
    <row r="243" spans="1:37">
      <c r="A243" s="10">
        <v>23</v>
      </c>
      <c r="B243" s="10">
        <v>1699</v>
      </c>
      <c r="C243" s="10" t="s">
        <v>270</v>
      </c>
      <c r="D243" s="11" t="s">
        <v>28</v>
      </c>
      <c r="E243" s="11"/>
      <c r="F243" s="11" t="s">
        <v>248</v>
      </c>
      <c r="G243" s="11" t="s">
        <v>26</v>
      </c>
      <c r="H243" s="9"/>
      <c r="I243" s="12"/>
      <c r="J243" s="12">
        <v>150</v>
      </c>
      <c r="K243" s="12"/>
      <c r="L243" s="12">
        <v>11517</v>
      </c>
      <c r="M243" s="11">
        <f>L243*4+AI243-AJ243</f>
        <v>46068</v>
      </c>
      <c r="N243" s="13"/>
      <c r="O243" s="12"/>
      <c r="P243" s="12"/>
      <c r="Q243" s="12"/>
      <c r="R243" s="12"/>
      <c r="S243" s="12">
        <v>11667</v>
      </c>
      <c r="T243" s="12"/>
      <c r="U243" s="12"/>
      <c r="V243" s="12"/>
      <c r="W243" s="12"/>
      <c r="X243" s="12"/>
      <c r="Y243" s="12"/>
      <c r="Z243" s="12"/>
      <c r="AA243" s="12"/>
      <c r="AB243" s="12"/>
      <c r="AC243" s="12"/>
      <c r="AD243" s="12"/>
      <c r="AE243" s="12"/>
      <c r="AF243" s="13">
        <f>H243+I243+J243+K243+M243-N243</f>
        <v>46218</v>
      </c>
      <c r="AG243" s="13">
        <f>SUM(O243:AE243)</f>
        <v>11667</v>
      </c>
      <c r="AH243" s="13">
        <f>AF243-AG243</f>
        <v>34551</v>
      </c>
      <c r="AI243" s="12"/>
      <c r="AJ243" s="12"/>
      <c r="AK243" s="12"/>
    </row>
    <row r="244" spans="1:37">
      <c r="A244" s="10">
        <v>24</v>
      </c>
      <c r="B244" s="10">
        <v>1790</v>
      </c>
      <c r="C244" s="10" t="s">
        <v>271</v>
      </c>
      <c r="D244" s="11" t="s">
        <v>23</v>
      </c>
      <c r="E244" s="11"/>
      <c r="F244" s="11" t="s">
        <v>248</v>
      </c>
      <c r="G244" s="11" t="s">
        <v>26</v>
      </c>
      <c r="H244" s="9"/>
      <c r="I244" s="12"/>
      <c r="J244" s="12">
        <v>150</v>
      </c>
      <c r="K244" s="12"/>
      <c r="L244" s="12">
        <v>11517</v>
      </c>
      <c r="M244" s="11">
        <f>L244*4+AI244-AJ244</f>
        <v>46068</v>
      </c>
      <c r="N244" s="13"/>
      <c r="O244" s="12"/>
      <c r="P244" s="12"/>
      <c r="Q244" s="12"/>
      <c r="R244" s="12"/>
      <c r="S244" s="12">
        <v>11667</v>
      </c>
      <c r="T244" s="12"/>
      <c r="U244" s="12"/>
      <c r="V244" s="12">
        <v>11517</v>
      </c>
      <c r="W244" s="12"/>
      <c r="X244" s="12"/>
      <c r="Y244" s="12"/>
      <c r="Z244" s="12"/>
      <c r="AA244" s="12"/>
      <c r="AB244" s="12"/>
      <c r="AC244" s="12"/>
      <c r="AD244" s="12"/>
      <c r="AE244" s="12"/>
      <c r="AF244" s="13">
        <f>H244+I244+J244+K244+M244-N244</f>
        <v>46218</v>
      </c>
      <c r="AG244" s="13">
        <f>SUM(O244:AE244)</f>
        <v>23184</v>
      </c>
      <c r="AH244" s="13">
        <f>AF244-AG244</f>
        <v>23034</v>
      </c>
      <c r="AI244" s="12"/>
      <c r="AJ244" s="12"/>
      <c r="AK244" s="12"/>
    </row>
    <row r="245" spans="1:37">
      <c r="A245" s="10">
        <v>25</v>
      </c>
      <c r="B245" s="14">
        <v>1748</v>
      </c>
      <c r="C245" s="14" t="s">
        <v>272</v>
      </c>
      <c r="D245" s="15" t="s">
        <v>23</v>
      </c>
      <c r="E245" s="15"/>
      <c r="F245" s="15" t="s">
        <v>248</v>
      </c>
      <c r="G245" s="15" t="s">
        <v>26</v>
      </c>
      <c r="H245" s="9"/>
      <c r="I245" s="12"/>
      <c r="J245" s="12">
        <v>150</v>
      </c>
      <c r="K245" s="12"/>
      <c r="L245" s="12">
        <v>0</v>
      </c>
      <c r="M245" s="11">
        <f>L245*4+AI245-AJ245</f>
        <v>0</v>
      </c>
      <c r="N245" s="13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  <c r="AA245" s="12"/>
      <c r="AB245" s="12"/>
      <c r="AC245" s="12"/>
      <c r="AD245" s="12"/>
      <c r="AE245" s="12"/>
      <c r="AF245" s="13">
        <f>H245+I245+J245+K245+M245-N245</f>
        <v>150</v>
      </c>
      <c r="AG245" s="13">
        <f>SUM(O245:AE245)</f>
        <v>0</v>
      </c>
      <c r="AH245" s="13">
        <f>AF245-AG245</f>
        <v>150</v>
      </c>
      <c r="AI245" s="12"/>
      <c r="AJ245" s="12"/>
      <c r="AK245" s="12"/>
    </row>
    <row r="246" spans="1:37">
      <c r="A246" s="10">
        <v>26</v>
      </c>
      <c r="B246" s="10">
        <v>1671</v>
      </c>
      <c r="C246" s="10" t="s">
        <v>273</v>
      </c>
      <c r="D246" s="11" t="s">
        <v>28</v>
      </c>
      <c r="E246" s="11"/>
      <c r="F246" s="11" t="s">
        <v>248</v>
      </c>
      <c r="G246" s="11" t="s">
        <v>26</v>
      </c>
      <c r="H246" s="9"/>
      <c r="I246" s="12"/>
      <c r="J246" s="12">
        <v>150</v>
      </c>
      <c r="K246" s="12"/>
      <c r="L246" s="12">
        <v>11517</v>
      </c>
      <c r="M246" s="11">
        <f>L246*4+AI246-AJ246</f>
        <v>46068</v>
      </c>
      <c r="N246" s="13"/>
      <c r="O246" s="12"/>
      <c r="P246" s="12"/>
      <c r="Q246" s="12"/>
      <c r="R246" s="12"/>
      <c r="S246" s="12">
        <v>11667</v>
      </c>
      <c r="T246" s="12"/>
      <c r="U246" s="12"/>
      <c r="V246" s="12">
        <v>11517</v>
      </c>
      <c r="W246" s="12"/>
      <c r="X246" s="12"/>
      <c r="Y246" s="12"/>
      <c r="Z246" s="12"/>
      <c r="AA246" s="12"/>
      <c r="AB246" s="12"/>
      <c r="AC246" s="12"/>
      <c r="AD246" s="12"/>
      <c r="AE246" s="12"/>
      <c r="AF246" s="13">
        <f>H246+I246+J246+K246+M246-N246</f>
        <v>46218</v>
      </c>
      <c r="AG246" s="13">
        <f>SUM(O246:AE246)</f>
        <v>23184</v>
      </c>
      <c r="AH246" s="13">
        <f>AF246-AG246</f>
        <v>23034</v>
      </c>
      <c r="AI246" s="12"/>
      <c r="AJ246" s="12"/>
      <c r="AK246" s="12"/>
    </row>
    <row r="247" spans="1:37">
      <c r="A247" s="10">
        <v>27</v>
      </c>
      <c r="B247" s="17">
        <v>1757</v>
      </c>
      <c r="C247" s="17" t="s">
        <v>274</v>
      </c>
      <c r="D247" s="18" t="s">
        <v>28</v>
      </c>
      <c r="E247" s="18"/>
      <c r="F247" s="15" t="s">
        <v>248</v>
      </c>
      <c r="G247" s="18" t="s">
        <v>26</v>
      </c>
      <c r="H247" s="9"/>
      <c r="I247" s="12"/>
      <c r="J247" s="12">
        <v>150</v>
      </c>
      <c r="K247" s="12"/>
      <c r="L247" s="12">
        <v>0</v>
      </c>
      <c r="M247" s="11">
        <f>L247*4+AI247-AJ247</f>
        <v>0</v>
      </c>
      <c r="N247" s="13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  <c r="AA247" s="12"/>
      <c r="AB247" s="12"/>
      <c r="AC247" s="12"/>
      <c r="AD247" s="12"/>
      <c r="AE247" s="12"/>
      <c r="AF247" s="13">
        <f>H247+I247+J247+K247+M247-N247</f>
        <v>150</v>
      </c>
      <c r="AG247" s="13">
        <f>SUM(O247:AE247)</f>
        <v>0</v>
      </c>
      <c r="AH247" s="13">
        <f>AF247-AG247</f>
        <v>150</v>
      </c>
      <c r="AI247" s="12"/>
      <c r="AJ247" s="12"/>
      <c r="AK247" s="12"/>
    </row>
    <row r="248" spans="1:37">
      <c r="A248" s="10">
        <v>28</v>
      </c>
      <c r="B248" s="10">
        <v>1682</v>
      </c>
      <c r="C248" s="10" t="s">
        <v>275</v>
      </c>
      <c r="D248" s="11" t="s">
        <v>23</v>
      </c>
      <c r="E248" s="11"/>
      <c r="F248" s="11" t="s">
        <v>248</v>
      </c>
      <c r="G248" s="11" t="s">
        <v>26</v>
      </c>
      <c r="H248" s="9"/>
      <c r="I248" s="12"/>
      <c r="J248" s="12">
        <v>150</v>
      </c>
      <c r="K248" s="12"/>
      <c r="L248" s="12">
        <v>11517</v>
      </c>
      <c r="M248" s="11">
        <f>L248*4+AI248-AJ248</f>
        <v>46068</v>
      </c>
      <c r="N248" s="13"/>
      <c r="O248" s="12"/>
      <c r="P248" s="12"/>
      <c r="Q248" s="12"/>
      <c r="R248" s="12"/>
      <c r="S248" s="12"/>
      <c r="T248" s="12">
        <v>11667</v>
      </c>
      <c r="U248" s="12"/>
      <c r="V248" s="12"/>
      <c r="W248" s="12"/>
      <c r="X248" s="12"/>
      <c r="Y248" s="12"/>
      <c r="Z248" s="12"/>
      <c r="AA248" s="12"/>
      <c r="AB248" s="12"/>
      <c r="AC248" s="12"/>
      <c r="AD248" s="12"/>
      <c r="AE248" s="12"/>
      <c r="AF248" s="13">
        <f>H248+I248+J248+K248+M248-N248</f>
        <v>46218</v>
      </c>
      <c r="AG248" s="13">
        <f>SUM(O248:AE248)</f>
        <v>11667</v>
      </c>
      <c r="AH248" s="13">
        <f>AF248-AG248</f>
        <v>34551</v>
      </c>
      <c r="AI248" s="12"/>
      <c r="AJ248" s="12"/>
      <c r="AK248" s="12"/>
    </row>
    <row r="249" spans="1:37">
      <c r="A249" s="10">
        <v>29</v>
      </c>
      <c r="B249" s="10">
        <v>1718</v>
      </c>
      <c r="C249" s="10" t="s">
        <v>276</v>
      </c>
      <c r="D249" s="11" t="s">
        <v>23</v>
      </c>
      <c r="E249" s="11"/>
      <c r="F249" s="11" t="s">
        <v>248</v>
      </c>
      <c r="G249" s="11" t="s">
        <v>26</v>
      </c>
      <c r="H249" s="9"/>
      <c r="I249" s="12"/>
      <c r="J249" s="12">
        <v>150</v>
      </c>
      <c r="K249" s="12"/>
      <c r="L249" s="12">
        <v>11517</v>
      </c>
      <c r="M249" s="11">
        <f>L249*4+AI249-AJ249</f>
        <v>46068</v>
      </c>
      <c r="N249" s="13"/>
      <c r="O249" s="12"/>
      <c r="P249" s="12"/>
      <c r="Q249" s="12"/>
      <c r="R249" s="12"/>
      <c r="S249" s="12">
        <v>11667</v>
      </c>
      <c r="T249" s="12"/>
      <c r="U249" s="12"/>
      <c r="V249" s="12">
        <v>11517</v>
      </c>
      <c r="W249" s="12"/>
      <c r="X249" s="12"/>
      <c r="Y249" s="12"/>
      <c r="Z249" s="12"/>
      <c r="AA249" s="12"/>
      <c r="AB249" s="12"/>
      <c r="AC249" s="12"/>
      <c r="AD249" s="12"/>
      <c r="AE249" s="12"/>
      <c r="AF249" s="13">
        <f>H249+I249+J249+K249+M249-N249</f>
        <v>46218</v>
      </c>
      <c r="AG249" s="13">
        <f>SUM(O249:AE249)</f>
        <v>23184</v>
      </c>
      <c r="AH249" s="13">
        <f>AF249-AG249</f>
        <v>23034</v>
      </c>
      <c r="AI249" s="12"/>
      <c r="AJ249" s="12"/>
      <c r="AK249" s="12"/>
    </row>
    <row r="250" spans="1:37">
      <c r="A250" s="10">
        <v>30</v>
      </c>
      <c r="B250" s="14">
        <v>2114</v>
      </c>
      <c r="C250" s="14" t="s">
        <v>277</v>
      </c>
      <c r="D250" s="15" t="s">
        <v>28</v>
      </c>
      <c r="E250" s="15"/>
      <c r="F250" s="15" t="s">
        <v>248</v>
      </c>
      <c r="G250" s="15" t="s">
        <v>26</v>
      </c>
      <c r="H250" s="9"/>
      <c r="I250" s="12"/>
      <c r="J250" s="12">
        <v>150</v>
      </c>
      <c r="K250" s="12"/>
      <c r="L250" s="12">
        <v>0</v>
      </c>
      <c r="M250" s="11">
        <f>L250*4+AI250-AJ250</f>
        <v>0</v>
      </c>
      <c r="N250" s="13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  <c r="AA250" s="12"/>
      <c r="AB250" s="12"/>
      <c r="AC250" s="12"/>
      <c r="AD250" s="12"/>
      <c r="AE250" s="12"/>
      <c r="AF250" s="13">
        <f>H250+I250+J250+K250+M250-N250</f>
        <v>150</v>
      </c>
      <c r="AG250" s="13">
        <f>SUM(O250:AE250)</f>
        <v>0</v>
      </c>
      <c r="AH250" s="13">
        <f>AF250-AG250</f>
        <v>150</v>
      </c>
      <c r="AI250" s="12"/>
      <c r="AJ250" s="12"/>
      <c r="AK250" s="12"/>
    </row>
    <row r="251" spans="1:37">
      <c r="A251" s="10">
        <v>31</v>
      </c>
      <c r="B251" s="10">
        <v>1881</v>
      </c>
      <c r="C251" s="10" t="s">
        <v>278</v>
      </c>
      <c r="D251" s="11" t="s">
        <v>28</v>
      </c>
      <c r="E251" s="11"/>
      <c r="F251" s="11" t="s">
        <v>248</v>
      </c>
      <c r="G251" s="11" t="s">
        <v>26</v>
      </c>
      <c r="H251" s="9"/>
      <c r="I251" s="12"/>
      <c r="J251" s="12">
        <v>150</v>
      </c>
      <c r="K251" s="12"/>
      <c r="L251" s="12">
        <v>11517</v>
      </c>
      <c r="M251" s="11">
        <f>L251*4+AI251-AJ251</f>
        <v>46068</v>
      </c>
      <c r="N251" s="13"/>
      <c r="O251" s="12"/>
      <c r="P251" s="12"/>
      <c r="Q251" s="12"/>
      <c r="R251" s="12"/>
      <c r="S251" s="12"/>
      <c r="T251" s="12">
        <v>11667</v>
      </c>
      <c r="U251" s="12"/>
      <c r="V251" s="12"/>
      <c r="W251" s="12"/>
      <c r="X251" s="12"/>
      <c r="Y251" s="12"/>
      <c r="Z251" s="12"/>
      <c r="AA251" s="12"/>
      <c r="AB251" s="12"/>
      <c r="AC251" s="12"/>
      <c r="AD251" s="12"/>
      <c r="AE251" s="12"/>
      <c r="AF251" s="13">
        <f>H251+I251+J251+K251+M251-N251</f>
        <v>46218</v>
      </c>
      <c r="AG251" s="13">
        <f>SUM(O251:AE251)</f>
        <v>11667</v>
      </c>
      <c r="AH251" s="13">
        <f>AF251-AG251</f>
        <v>34551</v>
      </c>
      <c r="AI251" s="12"/>
      <c r="AJ251" s="12"/>
      <c r="AK251" s="12"/>
    </row>
    <row r="252" spans="1:37">
      <c r="A252" s="10">
        <v>32</v>
      </c>
      <c r="B252" s="10">
        <v>1769</v>
      </c>
      <c r="C252" s="10" t="s">
        <v>279</v>
      </c>
      <c r="D252" s="11" t="s">
        <v>23</v>
      </c>
      <c r="E252" s="11"/>
      <c r="F252" s="11" t="s">
        <v>248</v>
      </c>
      <c r="G252" s="11" t="s">
        <v>26</v>
      </c>
      <c r="H252" s="9"/>
      <c r="I252" s="12"/>
      <c r="J252" s="12">
        <v>150</v>
      </c>
      <c r="K252" s="12"/>
      <c r="L252" s="12">
        <v>11517</v>
      </c>
      <c r="M252" s="11">
        <f>L252*4+AI252-AJ252</f>
        <v>46068</v>
      </c>
      <c r="N252" s="13"/>
      <c r="O252" s="12"/>
      <c r="P252" s="12"/>
      <c r="Q252" s="12"/>
      <c r="R252" s="12"/>
      <c r="S252" s="12"/>
      <c r="T252" s="12">
        <v>11667</v>
      </c>
      <c r="U252" s="12"/>
      <c r="V252" s="12">
        <v>11517</v>
      </c>
      <c r="W252" s="12"/>
      <c r="X252" s="12"/>
      <c r="Y252" s="12"/>
      <c r="Z252" s="12"/>
      <c r="AA252" s="12"/>
      <c r="AB252" s="12"/>
      <c r="AC252" s="12"/>
      <c r="AD252" s="12"/>
      <c r="AE252" s="12"/>
      <c r="AF252" s="13">
        <f>H252+I252+J252+K252+M252-N252</f>
        <v>46218</v>
      </c>
      <c r="AG252" s="13">
        <f>SUM(O252:AE252)</f>
        <v>23184</v>
      </c>
      <c r="AH252" s="13">
        <f>AF252-AG252</f>
        <v>23034</v>
      </c>
      <c r="AI252" s="12"/>
      <c r="AJ252" s="12"/>
      <c r="AK252" s="12"/>
    </row>
    <row r="253" spans="1:37">
      <c r="A253" s="10">
        <v>33</v>
      </c>
      <c r="B253" s="10">
        <v>1975</v>
      </c>
      <c r="C253" s="10" t="s">
        <v>280</v>
      </c>
      <c r="D253" s="11" t="s">
        <v>28</v>
      </c>
      <c r="E253" s="11"/>
      <c r="F253" s="11" t="s">
        <v>248</v>
      </c>
      <c r="G253" s="11" t="s">
        <v>26</v>
      </c>
      <c r="H253" s="9"/>
      <c r="I253" s="12"/>
      <c r="J253" s="12">
        <v>150</v>
      </c>
      <c r="K253" s="12"/>
      <c r="L253" s="12">
        <v>11517</v>
      </c>
      <c r="M253" s="11">
        <f>L253*4+AI253-AJ253</f>
        <v>46068</v>
      </c>
      <c r="N253" s="13"/>
      <c r="O253" s="12"/>
      <c r="P253" s="12"/>
      <c r="Q253" s="12"/>
      <c r="R253" s="12"/>
      <c r="S253" s="12">
        <v>11667</v>
      </c>
      <c r="T253" s="12"/>
      <c r="U253" s="12"/>
      <c r="V253" s="12"/>
      <c r="W253" s="12"/>
      <c r="X253" s="12"/>
      <c r="Y253" s="12"/>
      <c r="Z253" s="12"/>
      <c r="AA253" s="12"/>
      <c r="AB253" s="12"/>
      <c r="AC253" s="12"/>
      <c r="AD253" s="12"/>
      <c r="AE253" s="12"/>
      <c r="AF253" s="13">
        <f>H253+I253+J253+K253+M253-N253</f>
        <v>46218</v>
      </c>
      <c r="AG253" s="13">
        <f>SUM(O253:AE253)</f>
        <v>11667</v>
      </c>
      <c r="AH253" s="13">
        <f>AF253-AG253</f>
        <v>34551</v>
      </c>
      <c r="AI253" s="12"/>
      <c r="AJ253" s="12"/>
      <c r="AK253" s="12"/>
    </row>
    <row r="254" spans="1:37">
      <c r="A254" s="10">
        <v>34</v>
      </c>
      <c r="B254" s="10">
        <v>1711</v>
      </c>
      <c r="C254" s="10" t="s">
        <v>281</v>
      </c>
      <c r="D254" s="11" t="s">
        <v>28</v>
      </c>
      <c r="E254" s="11"/>
      <c r="F254" s="11" t="s">
        <v>248</v>
      </c>
      <c r="G254" s="11" t="s">
        <v>26</v>
      </c>
      <c r="H254" s="9"/>
      <c r="I254" s="12"/>
      <c r="J254" s="12">
        <v>150</v>
      </c>
      <c r="K254" s="12"/>
      <c r="L254" s="12">
        <v>11517</v>
      </c>
      <c r="M254" s="11">
        <f>L254*4+AI254-AJ254</f>
        <v>46068</v>
      </c>
      <c r="N254" s="13"/>
      <c r="O254" s="12"/>
      <c r="P254" s="12"/>
      <c r="Q254" s="12"/>
      <c r="R254" s="12"/>
      <c r="S254" s="12"/>
      <c r="T254" s="12">
        <v>11667</v>
      </c>
      <c r="U254" s="12"/>
      <c r="V254" s="12"/>
      <c r="W254" s="12"/>
      <c r="X254" s="12"/>
      <c r="Y254" s="12"/>
      <c r="Z254" s="12"/>
      <c r="AA254" s="12"/>
      <c r="AB254" s="12"/>
      <c r="AC254" s="12"/>
      <c r="AD254" s="12"/>
      <c r="AE254" s="12"/>
      <c r="AF254" s="13">
        <f>H254+I254+J254+K254+M254-N254</f>
        <v>46218</v>
      </c>
      <c r="AG254" s="13">
        <f>SUM(O254:AE254)</f>
        <v>11667</v>
      </c>
      <c r="AH254" s="13">
        <f>AF254-AG254</f>
        <v>34551</v>
      </c>
      <c r="AI254" s="12"/>
      <c r="AJ254" s="12"/>
      <c r="AK254" s="12"/>
    </row>
    <row r="255" spans="1:37">
      <c r="A255" s="10">
        <v>35</v>
      </c>
      <c r="B255" s="10">
        <v>1706</v>
      </c>
      <c r="C255" s="10" t="s">
        <v>282</v>
      </c>
      <c r="D255" s="11" t="s">
        <v>28</v>
      </c>
      <c r="E255" s="11"/>
      <c r="F255" s="11" t="s">
        <v>248</v>
      </c>
      <c r="G255" s="11" t="s">
        <v>26</v>
      </c>
      <c r="H255" s="9"/>
      <c r="I255" s="12"/>
      <c r="J255" s="12">
        <v>150</v>
      </c>
      <c r="K255" s="12"/>
      <c r="L255" s="12">
        <v>11517</v>
      </c>
      <c r="M255" s="11">
        <f>L255*4+AI255-AJ255</f>
        <v>46068</v>
      </c>
      <c r="N255" s="13"/>
      <c r="O255" s="12"/>
      <c r="P255" s="12"/>
      <c r="Q255" s="12"/>
      <c r="R255" s="12"/>
      <c r="S255" s="12">
        <v>11667</v>
      </c>
      <c r="T255" s="12"/>
      <c r="U255" s="12"/>
      <c r="V255" s="12">
        <v>11667</v>
      </c>
      <c r="W255" s="12"/>
      <c r="X255" s="12"/>
      <c r="Y255" s="12"/>
      <c r="Z255" s="12"/>
      <c r="AA255" s="12"/>
      <c r="AB255" s="12"/>
      <c r="AC255" s="12"/>
      <c r="AD255" s="12"/>
      <c r="AE255" s="12"/>
      <c r="AF255" s="13">
        <f>H255+I255+J255+K255+M255-N255</f>
        <v>46218</v>
      </c>
      <c r="AG255" s="13">
        <f>SUM(O255:AE255)</f>
        <v>23334</v>
      </c>
      <c r="AH255" s="13">
        <f>AF255-AG255</f>
        <v>22884</v>
      </c>
      <c r="AI255" s="12"/>
      <c r="AJ255" s="12"/>
      <c r="AK255" s="12"/>
    </row>
    <row r="256" spans="1:37">
      <c r="A256" s="10">
        <v>36</v>
      </c>
      <c r="B256" s="10">
        <v>1708</v>
      </c>
      <c r="C256" s="11" t="s">
        <v>283</v>
      </c>
      <c r="D256" s="11" t="s">
        <v>23</v>
      </c>
      <c r="E256" s="11"/>
      <c r="F256" s="11" t="s">
        <v>248</v>
      </c>
      <c r="G256" s="11" t="s">
        <v>26</v>
      </c>
      <c r="H256" s="9"/>
      <c r="I256" s="12"/>
      <c r="J256" s="12">
        <v>150</v>
      </c>
      <c r="K256" s="12"/>
      <c r="L256" s="12">
        <v>11517</v>
      </c>
      <c r="M256" s="11">
        <f>L256*4+AI256-AJ256</f>
        <v>46068</v>
      </c>
      <c r="N256" s="13"/>
      <c r="O256" s="12"/>
      <c r="P256" s="12"/>
      <c r="Q256" s="12"/>
      <c r="R256" s="12"/>
      <c r="S256" s="12"/>
      <c r="T256" s="12"/>
      <c r="U256" s="12"/>
      <c r="V256" s="12">
        <v>23034</v>
      </c>
      <c r="W256" s="12"/>
      <c r="X256" s="12"/>
      <c r="Y256" s="12"/>
      <c r="Z256" s="12"/>
      <c r="AA256" s="12"/>
      <c r="AB256" s="12"/>
      <c r="AC256" s="12"/>
      <c r="AD256" s="12"/>
      <c r="AE256" s="12"/>
      <c r="AF256" s="13">
        <f>H256+I256+J256+K256+M256-N256</f>
        <v>46218</v>
      </c>
      <c r="AG256" s="13">
        <f>SUM(O256:AE256)</f>
        <v>23034</v>
      </c>
      <c r="AH256" s="13">
        <f>AF256-AG256</f>
        <v>23184</v>
      </c>
      <c r="AI256" s="12"/>
      <c r="AJ256" s="12"/>
      <c r="AK256" s="12"/>
    </row>
    <row r="257" spans="1:37">
      <c r="A257" s="10">
        <v>37</v>
      </c>
      <c r="B257" s="10">
        <v>1707</v>
      </c>
      <c r="C257" s="11" t="s">
        <v>284</v>
      </c>
      <c r="D257" s="11" t="s">
        <v>23</v>
      </c>
      <c r="E257" s="11"/>
      <c r="F257" s="11" t="s">
        <v>248</v>
      </c>
      <c r="G257" s="11" t="s">
        <v>26</v>
      </c>
      <c r="H257" s="9"/>
      <c r="I257" s="12"/>
      <c r="J257" s="12">
        <v>150</v>
      </c>
      <c r="K257" s="12"/>
      <c r="L257" s="12">
        <v>11517</v>
      </c>
      <c r="M257" s="11">
        <f>L257*4+AI257-AJ257</f>
        <v>46068</v>
      </c>
      <c r="N257" s="13"/>
      <c r="O257" s="12"/>
      <c r="P257" s="12"/>
      <c r="Q257" s="12"/>
      <c r="R257" s="12"/>
      <c r="S257" s="12"/>
      <c r="T257" s="12"/>
      <c r="U257" s="12"/>
      <c r="V257" s="12">
        <v>23034</v>
      </c>
      <c r="W257" s="12"/>
      <c r="X257" s="12"/>
      <c r="Y257" s="12"/>
      <c r="Z257" s="12"/>
      <c r="AA257" s="12"/>
      <c r="AB257" s="12"/>
      <c r="AC257" s="12"/>
      <c r="AD257" s="12"/>
      <c r="AE257" s="12"/>
      <c r="AF257" s="13">
        <f>H257+I257+J257+K257+M257-N257</f>
        <v>46218</v>
      </c>
      <c r="AG257" s="13">
        <f>SUM(O257:AE257)</f>
        <v>23034</v>
      </c>
      <c r="AH257" s="13">
        <f>AF257-AG257</f>
        <v>23184</v>
      </c>
      <c r="AI257" s="12"/>
      <c r="AJ257" s="12"/>
      <c r="AK257" s="12"/>
    </row>
    <row r="258" spans="1:37">
      <c r="A258" s="10">
        <v>1</v>
      </c>
      <c r="B258" s="21">
        <v>2204</v>
      </c>
      <c r="C258" s="22" t="s">
        <v>285</v>
      </c>
      <c r="D258" s="22" t="s">
        <v>23</v>
      </c>
      <c r="E258" s="22" t="s">
        <v>24</v>
      </c>
      <c r="F258" s="22" t="s">
        <v>248</v>
      </c>
      <c r="G258" s="22" t="s">
        <v>26</v>
      </c>
      <c r="H258" s="9">
        <v>5000</v>
      </c>
      <c r="I258" s="12">
        <v>1200</v>
      </c>
      <c r="J258" s="12">
        <v>150</v>
      </c>
      <c r="K258" s="12"/>
      <c r="L258" s="12">
        <v>11517</v>
      </c>
      <c r="M258" s="11">
        <f>L258*4+AI258-AJ258</f>
        <v>46068</v>
      </c>
      <c r="N258" s="13"/>
      <c r="O258" s="12">
        <v>5000</v>
      </c>
      <c r="P258" s="12">
        <v>1200</v>
      </c>
      <c r="Q258" s="12"/>
      <c r="R258" s="11">
        <f>11517+150</f>
        <v>11667</v>
      </c>
      <c r="S258" s="12"/>
      <c r="T258" s="12"/>
      <c r="U258" s="12"/>
      <c r="V258" s="12">
        <v>11517</v>
      </c>
      <c r="W258" s="12"/>
      <c r="X258" s="12"/>
      <c r="Y258" s="12"/>
      <c r="Z258" s="12"/>
      <c r="AA258" s="12"/>
      <c r="AB258" s="12"/>
      <c r="AC258" s="12"/>
      <c r="AD258" s="12"/>
      <c r="AE258" s="12"/>
      <c r="AF258" s="13">
        <f>H258+I258+J258+K258+M258-N258</f>
        <v>52418</v>
      </c>
      <c r="AG258" s="13">
        <f>SUM(O258:AE258)</f>
        <v>29384</v>
      </c>
      <c r="AH258" s="13">
        <f>AF258-AG258</f>
        <v>23034</v>
      </c>
      <c r="AI258" s="12"/>
      <c r="AJ258" s="12"/>
      <c r="AK258" s="12"/>
    </row>
    <row r="259" spans="1:37">
      <c r="A259" s="16">
        <v>2</v>
      </c>
      <c r="B259" s="16">
        <v>1685</v>
      </c>
      <c r="C259" s="16" t="s">
        <v>286</v>
      </c>
      <c r="D259" s="12" t="s">
        <v>28</v>
      </c>
      <c r="E259" s="12"/>
      <c r="F259" s="11" t="s">
        <v>248</v>
      </c>
      <c r="G259" s="12" t="s">
        <v>62</v>
      </c>
      <c r="H259" s="9"/>
      <c r="I259" s="12"/>
      <c r="J259" s="12">
        <v>150</v>
      </c>
      <c r="K259" s="12"/>
      <c r="L259" s="12">
        <v>11517</v>
      </c>
      <c r="M259" s="11">
        <f>L259*4+AI259-AJ259</f>
        <v>46068</v>
      </c>
      <c r="N259" s="13">
        <v>2303</v>
      </c>
      <c r="O259" s="12"/>
      <c r="P259" s="12"/>
      <c r="Q259" s="12"/>
      <c r="R259" s="12"/>
      <c r="S259" s="12"/>
      <c r="T259" s="12">
        <v>43915</v>
      </c>
      <c r="U259" s="12"/>
      <c r="V259" s="12"/>
      <c r="W259" s="12"/>
      <c r="X259" s="12"/>
      <c r="Y259" s="12"/>
      <c r="Z259" s="12"/>
      <c r="AA259" s="12"/>
      <c r="AB259" s="12"/>
      <c r="AC259" s="12"/>
      <c r="AD259" s="12"/>
      <c r="AE259" s="12"/>
      <c r="AF259" s="13">
        <f>H259+I259+J259+K259+M259-N259</f>
        <v>43915</v>
      </c>
      <c r="AG259" s="13">
        <f>SUM(O259:AE259)</f>
        <v>43915</v>
      </c>
      <c r="AH259" s="13">
        <f>AF259-AG259</f>
        <v>0</v>
      </c>
      <c r="AI259" s="12"/>
      <c r="AJ259" s="12"/>
      <c r="AK259" s="12"/>
    </row>
    <row r="260" spans="1:37">
      <c r="A260" s="10">
        <v>3</v>
      </c>
      <c r="B260" s="17">
        <v>2116</v>
      </c>
      <c r="C260" s="28" t="s">
        <v>287</v>
      </c>
      <c r="D260" s="18" t="s">
        <v>28</v>
      </c>
      <c r="E260" s="18"/>
      <c r="F260" s="15" t="s">
        <v>248</v>
      </c>
      <c r="G260" s="18" t="s">
        <v>62</v>
      </c>
      <c r="H260" s="9"/>
      <c r="I260" s="12"/>
      <c r="J260" s="12">
        <v>150</v>
      </c>
      <c r="K260" s="12"/>
      <c r="L260" s="12">
        <v>0</v>
      </c>
      <c r="M260" s="11">
        <f>L260*4+AI260-AJ260</f>
        <v>0</v>
      </c>
      <c r="N260" s="13"/>
      <c r="O260" s="12"/>
      <c r="P260" s="12"/>
      <c r="Q260" s="12"/>
      <c r="R260" s="12"/>
      <c r="S260" s="12"/>
      <c r="T260" s="12"/>
      <c r="U260" s="12">
        <v>150</v>
      </c>
      <c r="V260" s="12"/>
      <c r="W260" s="12"/>
      <c r="X260" s="12"/>
      <c r="Y260" s="12"/>
      <c r="Z260" s="12"/>
      <c r="AA260" s="12"/>
      <c r="AB260" s="12"/>
      <c r="AC260" s="12"/>
      <c r="AD260" s="12"/>
      <c r="AE260" s="12"/>
      <c r="AF260" s="13">
        <f>H260+I260+J260+K260+M260-N260</f>
        <v>150</v>
      </c>
      <c r="AG260" s="13">
        <f>SUM(O260:AE260)</f>
        <v>150</v>
      </c>
      <c r="AH260" s="13">
        <f>AF260-AG260</f>
        <v>0</v>
      </c>
      <c r="AI260" s="12"/>
      <c r="AJ260" s="12"/>
      <c r="AK260" s="12"/>
    </row>
    <row r="261" spans="1:37">
      <c r="A261" s="16">
        <v>4</v>
      </c>
      <c r="B261" s="16">
        <v>1709</v>
      </c>
      <c r="C261" s="16" t="s">
        <v>288</v>
      </c>
      <c r="D261" s="12" t="s">
        <v>23</v>
      </c>
      <c r="E261" s="12"/>
      <c r="F261" s="11" t="s">
        <v>248</v>
      </c>
      <c r="G261" s="12" t="s">
        <v>62</v>
      </c>
      <c r="H261" s="9"/>
      <c r="I261" s="12"/>
      <c r="J261" s="12">
        <v>150</v>
      </c>
      <c r="K261" s="12"/>
      <c r="L261" s="12">
        <v>11517</v>
      </c>
      <c r="M261" s="11">
        <f>L261*4+AI261-AJ261</f>
        <v>46068</v>
      </c>
      <c r="N261" s="13"/>
      <c r="O261" s="12"/>
      <c r="P261" s="12"/>
      <c r="Q261" s="12"/>
      <c r="R261" s="12"/>
      <c r="S261" s="12"/>
      <c r="T261" s="12"/>
      <c r="U261" s="12">
        <v>11667</v>
      </c>
      <c r="V261" s="12"/>
      <c r="W261" s="12"/>
      <c r="X261" s="12"/>
      <c r="Y261" s="12"/>
      <c r="Z261" s="12"/>
      <c r="AA261" s="12"/>
      <c r="AB261" s="12"/>
      <c r="AC261" s="12"/>
      <c r="AD261" s="12"/>
      <c r="AE261" s="12"/>
      <c r="AF261" s="13">
        <f>H261+I261+J261+K261+M261-N261</f>
        <v>46218</v>
      </c>
      <c r="AG261" s="13">
        <f>SUM(O261:AE261)</f>
        <v>11667</v>
      </c>
      <c r="AH261" s="13">
        <f>AF261-AG261</f>
        <v>34551</v>
      </c>
      <c r="AI261" s="12"/>
      <c r="AJ261" s="12"/>
      <c r="AK261" s="12"/>
    </row>
    <row r="262" spans="1:37">
      <c r="A262" s="10">
        <v>5</v>
      </c>
      <c r="B262" s="16">
        <v>1939</v>
      </c>
      <c r="C262" s="16" t="s">
        <v>289</v>
      </c>
      <c r="D262" s="12" t="s">
        <v>28</v>
      </c>
      <c r="E262" s="12"/>
      <c r="F262" s="11" t="s">
        <v>248</v>
      </c>
      <c r="G262" s="12" t="s">
        <v>62</v>
      </c>
      <c r="H262" s="9"/>
      <c r="I262" s="12"/>
      <c r="J262" s="12">
        <v>150</v>
      </c>
      <c r="K262" s="12"/>
      <c r="L262" s="12">
        <v>11517</v>
      </c>
      <c r="M262" s="11">
        <f>L262*4+AI262-AJ262</f>
        <v>46068</v>
      </c>
      <c r="N262" s="13"/>
      <c r="O262" s="12"/>
      <c r="P262" s="12"/>
      <c r="Q262" s="12"/>
      <c r="R262" s="12"/>
      <c r="S262" s="12">
        <v>11667</v>
      </c>
      <c r="T262" s="12"/>
      <c r="U262" s="12"/>
      <c r="V262" s="12">
        <v>11517</v>
      </c>
      <c r="W262" s="12"/>
      <c r="X262" s="12"/>
      <c r="Y262" s="12"/>
      <c r="Z262" s="12"/>
      <c r="AA262" s="12"/>
      <c r="AB262" s="12"/>
      <c r="AC262" s="12"/>
      <c r="AD262" s="12"/>
      <c r="AE262" s="12"/>
      <c r="AF262" s="13">
        <f>H262+I262+J262+K262+M262-N262</f>
        <v>46218</v>
      </c>
      <c r="AG262" s="13">
        <f>SUM(O262:AE262)</f>
        <v>23184</v>
      </c>
      <c r="AH262" s="13">
        <f>AF262-AG262</f>
        <v>23034</v>
      </c>
      <c r="AI262" s="12"/>
      <c r="AJ262" s="12"/>
      <c r="AK262" s="12"/>
    </row>
    <row r="263" spans="1:37">
      <c r="A263" s="16">
        <v>6</v>
      </c>
      <c r="B263" s="16">
        <v>1730</v>
      </c>
      <c r="C263" s="16" t="s">
        <v>290</v>
      </c>
      <c r="D263" s="12" t="s">
        <v>28</v>
      </c>
      <c r="E263" s="12"/>
      <c r="F263" s="11" t="s">
        <v>248</v>
      </c>
      <c r="G263" s="12" t="s">
        <v>62</v>
      </c>
      <c r="H263" s="9"/>
      <c r="I263" s="12"/>
      <c r="J263" s="12">
        <v>150</v>
      </c>
      <c r="K263" s="12"/>
      <c r="L263" s="12">
        <v>11517</v>
      </c>
      <c r="M263" s="11">
        <f>L263*4+AI263-AJ263</f>
        <v>46068</v>
      </c>
      <c r="N263" s="13"/>
      <c r="O263" s="12"/>
      <c r="P263" s="12"/>
      <c r="Q263" s="12"/>
      <c r="R263" s="12"/>
      <c r="S263" s="12">
        <v>11667</v>
      </c>
      <c r="T263" s="12"/>
      <c r="U263" s="12"/>
      <c r="V263" s="12"/>
      <c r="W263" s="12"/>
      <c r="X263" s="12"/>
      <c r="Y263" s="12"/>
      <c r="Z263" s="12"/>
      <c r="AA263" s="12"/>
      <c r="AB263" s="12"/>
      <c r="AC263" s="12"/>
      <c r="AD263" s="12"/>
      <c r="AE263" s="12"/>
      <c r="AF263" s="13">
        <f>H263+I263+J263+K263+M263-N263</f>
        <v>46218</v>
      </c>
      <c r="AG263" s="13">
        <f>SUM(O263:AE263)</f>
        <v>11667</v>
      </c>
      <c r="AH263" s="13">
        <f>AF263-AG263</f>
        <v>34551</v>
      </c>
      <c r="AI263" s="12"/>
      <c r="AJ263" s="12"/>
      <c r="AK263" s="12"/>
    </row>
    <row r="264" spans="1:37">
      <c r="A264" s="10">
        <v>7</v>
      </c>
      <c r="B264" s="16">
        <v>2101</v>
      </c>
      <c r="C264" s="16" t="s">
        <v>291</v>
      </c>
      <c r="D264" s="16" t="s">
        <v>28</v>
      </c>
      <c r="E264" s="16"/>
      <c r="F264" s="11" t="s">
        <v>248</v>
      </c>
      <c r="G264" s="12" t="s">
        <v>62</v>
      </c>
      <c r="H264" s="9"/>
      <c r="I264" s="12"/>
      <c r="J264" s="12">
        <v>150</v>
      </c>
      <c r="K264" s="12"/>
      <c r="L264" s="12">
        <v>11517</v>
      </c>
      <c r="M264" s="11">
        <f>L264*4+AI264-AJ264</f>
        <v>46068</v>
      </c>
      <c r="N264" s="13"/>
      <c r="O264" s="9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  <c r="AA264" s="12"/>
      <c r="AB264" s="12"/>
      <c r="AC264" s="12"/>
      <c r="AD264" s="12"/>
      <c r="AE264" s="12"/>
      <c r="AF264" s="13">
        <f>H264+I264+J264+K264+M264-N264</f>
        <v>46218</v>
      </c>
      <c r="AG264" s="13">
        <f>SUM(O264:AE264)</f>
        <v>0</v>
      </c>
      <c r="AH264" s="13">
        <f>AF264-AG264</f>
        <v>46218</v>
      </c>
      <c r="AI264" s="12"/>
      <c r="AJ264" s="12"/>
      <c r="AK264" s="12"/>
    </row>
    <row r="265" spans="1:37">
      <c r="A265" s="16">
        <v>8</v>
      </c>
      <c r="B265" s="16">
        <v>1693</v>
      </c>
      <c r="C265" s="16" t="s">
        <v>292</v>
      </c>
      <c r="D265" s="12" t="s">
        <v>28</v>
      </c>
      <c r="E265" s="12"/>
      <c r="F265" s="11" t="s">
        <v>248</v>
      </c>
      <c r="G265" s="12" t="s">
        <v>62</v>
      </c>
      <c r="H265" s="9"/>
      <c r="I265" s="12"/>
      <c r="J265" s="12">
        <v>150</v>
      </c>
      <c r="K265" s="12"/>
      <c r="L265" s="12">
        <v>11517</v>
      </c>
      <c r="M265" s="11">
        <f>L265*4+AI265-AJ265</f>
        <v>46068</v>
      </c>
      <c r="N265" s="13"/>
      <c r="O265" s="12"/>
      <c r="P265" s="12"/>
      <c r="Q265" s="12"/>
      <c r="R265" s="12"/>
      <c r="S265" s="12"/>
      <c r="T265" s="12">
        <v>11667</v>
      </c>
      <c r="U265" s="12"/>
      <c r="V265" s="12"/>
      <c r="W265" s="12"/>
      <c r="X265" s="12"/>
      <c r="Y265" s="12"/>
      <c r="Z265" s="12"/>
      <c r="AA265" s="12"/>
      <c r="AB265" s="12"/>
      <c r="AC265" s="12"/>
      <c r="AD265" s="12"/>
      <c r="AE265" s="12"/>
      <c r="AF265" s="13">
        <f>H265+I265+J265+K265+M265-N265</f>
        <v>46218</v>
      </c>
      <c r="AG265" s="13">
        <f>SUM(O265:AE265)</f>
        <v>11667</v>
      </c>
      <c r="AH265" s="13">
        <f>AF265-AG265</f>
        <v>34551</v>
      </c>
      <c r="AI265" s="12"/>
      <c r="AJ265" s="12"/>
      <c r="AK265" s="12"/>
    </row>
    <row r="266" spans="1:37">
      <c r="A266" s="10">
        <v>9</v>
      </c>
      <c r="B266" s="19">
        <v>2215</v>
      </c>
      <c r="C266" s="19" t="s">
        <v>293</v>
      </c>
      <c r="D266" s="20" t="s">
        <v>23</v>
      </c>
      <c r="E266" s="20" t="s">
        <v>24</v>
      </c>
      <c r="F266" s="22" t="s">
        <v>248</v>
      </c>
      <c r="G266" s="20" t="s">
        <v>62</v>
      </c>
      <c r="H266" s="9">
        <v>5000</v>
      </c>
      <c r="I266" s="12">
        <v>1200</v>
      </c>
      <c r="J266" s="12">
        <v>150</v>
      </c>
      <c r="K266" s="12"/>
      <c r="L266" s="12">
        <v>11517</v>
      </c>
      <c r="M266" s="11">
        <f>L266*4+AI266-AJ266</f>
        <v>46068</v>
      </c>
      <c r="N266" s="13">
        <v>2303</v>
      </c>
      <c r="O266" s="12">
        <v>5000</v>
      </c>
      <c r="P266" s="12">
        <v>1200</v>
      </c>
      <c r="Q266" s="12"/>
      <c r="R266" s="11">
        <f>43765+150</f>
        <v>43915</v>
      </c>
      <c r="S266" s="12"/>
      <c r="T266" s="12"/>
      <c r="U266" s="12"/>
      <c r="V266" s="12"/>
      <c r="W266" s="12"/>
      <c r="X266" s="12"/>
      <c r="Y266" s="12"/>
      <c r="Z266" s="12"/>
      <c r="AA266" s="12"/>
      <c r="AB266" s="12"/>
      <c r="AC266" s="12"/>
      <c r="AD266" s="12"/>
      <c r="AE266" s="12"/>
      <c r="AF266" s="13">
        <f>H266+I266+J266+K266+M266-N266</f>
        <v>50115</v>
      </c>
      <c r="AG266" s="13">
        <f>SUM(O266:AE266)</f>
        <v>50115</v>
      </c>
      <c r="AH266" s="13">
        <f>AF266-AG266</f>
        <v>0</v>
      </c>
      <c r="AI266" s="12"/>
      <c r="AJ266" s="12"/>
      <c r="AK266" s="12"/>
    </row>
    <row r="267" spans="1:37">
      <c r="A267" s="16">
        <v>10</v>
      </c>
      <c r="B267" s="16">
        <v>2094</v>
      </c>
      <c r="C267" s="12" t="s">
        <v>294</v>
      </c>
      <c r="D267" s="16" t="s">
        <v>28</v>
      </c>
      <c r="E267" s="16"/>
      <c r="F267" s="11" t="s">
        <v>248</v>
      </c>
      <c r="G267" s="12" t="s">
        <v>62</v>
      </c>
      <c r="H267" s="9"/>
      <c r="I267" s="12"/>
      <c r="J267" s="12">
        <v>150</v>
      </c>
      <c r="K267" s="12"/>
      <c r="L267" s="12">
        <v>11517</v>
      </c>
      <c r="M267" s="11">
        <f>L267*4+AI267-AJ267</f>
        <v>46068</v>
      </c>
      <c r="N267" s="13"/>
      <c r="O267" s="9"/>
      <c r="P267" s="12"/>
      <c r="Q267" s="12"/>
      <c r="R267" s="12"/>
      <c r="S267" s="12"/>
      <c r="T267" s="12">
        <v>11667</v>
      </c>
      <c r="U267" s="12"/>
      <c r="V267" s="12"/>
      <c r="W267" s="12"/>
      <c r="X267" s="12"/>
      <c r="Y267" s="12"/>
      <c r="Z267" s="12"/>
      <c r="AA267" s="12"/>
      <c r="AB267" s="12"/>
      <c r="AC267" s="12"/>
      <c r="AD267" s="12"/>
      <c r="AE267" s="12"/>
      <c r="AF267" s="13">
        <f>H267+I267+J267+K267+M267-N267</f>
        <v>46218</v>
      </c>
      <c r="AG267" s="13">
        <f>SUM(O267:AE267)</f>
        <v>11667</v>
      </c>
      <c r="AH267" s="13">
        <f>AF267-AG267</f>
        <v>34551</v>
      </c>
      <c r="AI267" s="12"/>
      <c r="AJ267" s="12"/>
      <c r="AK267" s="12"/>
    </row>
    <row r="268" spans="1:37">
      <c r="A268" s="10">
        <v>11</v>
      </c>
      <c r="B268" s="16">
        <v>2089</v>
      </c>
      <c r="C268" s="16" t="s">
        <v>295</v>
      </c>
      <c r="D268" s="16" t="s">
        <v>23</v>
      </c>
      <c r="E268" s="16"/>
      <c r="F268" s="11" t="s">
        <v>248</v>
      </c>
      <c r="G268" s="12" t="s">
        <v>62</v>
      </c>
      <c r="H268" s="9"/>
      <c r="I268" s="12"/>
      <c r="J268" s="12">
        <v>150</v>
      </c>
      <c r="K268" s="12"/>
      <c r="L268" s="12">
        <v>11517</v>
      </c>
      <c r="M268" s="11">
        <f>L268*4+AI268-AJ268</f>
        <v>46068</v>
      </c>
      <c r="N268" s="13"/>
      <c r="O268" s="9"/>
      <c r="P268" s="12"/>
      <c r="Q268" s="12"/>
      <c r="R268" s="12"/>
      <c r="S268" s="12">
        <v>11667</v>
      </c>
      <c r="T268" s="12"/>
      <c r="U268" s="12"/>
      <c r="V268" s="12"/>
      <c r="W268" s="12"/>
      <c r="X268" s="12"/>
      <c r="Y268" s="12"/>
      <c r="Z268" s="12"/>
      <c r="AA268" s="12"/>
      <c r="AB268" s="12"/>
      <c r="AC268" s="12"/>
      <c r="AD268" s="12"/>
      <c r="AE268" s="12"/>
      <c r="AF268" s="13">
        <f>H268+I268+J268+K268+M268-N268</f>
        <v>46218</v>
      </c>
      <c r="AG268" s="13">
        <f>SUM(O268:AE268)</f>
        <v>11667</v>
      </c>
      <c r="AH268" s="13">
        <f>AF268-AG268</f>
        <v>34551</v>
      </c>
      <c r="AI268" s="12"/>
      <c r="AJ268" s="12"/>
      <c r="AK268" s="12"/>
    </row>
    <row r="269" spans="1:37">
      <c r="A269" s="16">
        <v>12</v>
      </c>
      <c r="B269" s="16">
        <v>1675</v>
      </c>
      <c r="C269" s="12" t="s">
        <v>296</v>
      </c>
      <c r="D269" s="12" t="s">
        <v>28</v>
      </c>
      <c r="E269" s="12"/>
      <c r="F269" s="11" t="s">
        <v>248</v>
      </c>
      <c r="G269" s="12" t="s">
        <v>62</v>
      </c>
      <c r="H269" s="9"/>
      <c r="I269" s="12"/>
      <c r="J269" s="12">
        <v>150</v>
      </c>
      <c r="K269" s="12"/>
      <c r="L269" s="12">
        <v>11517</v>
      </c>
      <c r="M269" s="11">
        <f>L269*4+AI269-AJ269</f>
        <v>46068</v>
      </c>
      <c r="N269" s="13"/>
      <c r="O269" s="12"/>
      <c r="P269" s="12"/>
      <c r="Q269" s="12"/>
      <c r="R269" s="12"/>
      <c r="S269" s="12"/>
      <c r="T269" s="12">
        <v>11667</v>
      </c>
      <c r="U269" s="12"/>
      <c r="V269" s="12"/>
      <c r="W269" s="12"/>
      <c r="X269" s="12"/>
      <c r="Y269" s="12"/>
      <c r="Z269" s="12"/>
      <c r="AA269" s="12"/>
      <c r="AB269" s="12"/>
      <c r="AC269" s="12"/>
      <c r="AD269" s="12"/>
      <c r="AE269" s="12"/>
      <c r="AF269" s="13">
        <f>H269+I269+J269+K269+M269-N269</f>
        <v>46218</v>
      </c>
      <c r="AG269" s="13">
        <f>SUM(O269:AE269)</f>
        <v>11667</v>
      </c>
      <c r="AH269" s="13">
        <f>AF269-AG269</f>
        <v>34551</v>
      </c>
      <c r="AI269" s="12"/>
      <c r="AJ269" s="12"/>
      <c r="AK269" s="12"/>
    </row>
    <row r="270" spans="1:37">
      <c r="A270" s="10">
        <v>13</v>
      </c>
      <c r="B270" s="16">
        <v>1670</v>
      </c>
      <c r="C270" s="16" t="s">
        <v>297</v>
      </c>
      <c r="D270" s="12" t="s">
        <v>28</v>
      </c>
      <c r="E270" s="12"/>
      <c r="F270" s="11" t="s">
        <v>248</v>
      </c>
      <c r="G270" s="12" t="s">
        <v>62</v>
      </c>
      <c r="H270" s="9"/>
      <c r="I270" s="12"/>
      <c r="J270" s="12">
        <v>150</v>
      </c>
      <c r="K270" s="12"/>
      <c r="L270" s="12">
        <v>11517</v>
      </c>
      <c r="M270" s="11">
        <f>L270*4+AI270-AJ270</f>
        <v>46068</v>
      </c>
      <c r="N270" s="13"/>
      <c r="O270" s="12"/>
      <c r="P270" s="12"/>
      <c r="Q270" s="12"/>
      <c r="R270" s="12"/>
      <c r="S270" s="12">
        <v>11667</v>
      </c>
      <c r="T270" s="12"/>
      <c r="U270" s="12"/>
      <c r="V270" s="12"/>
      <c r="W270" s="12"/>
      <c r="X270" s="12"/>
      <c r="Y270" s="12"/>
      <c r="Z270" s="12"/>
      <c r="AA270" s="12"/>
      <c r="AB270" s="12"/>
      <c r="AC270" s="12"/>
      <c r="AD270" s="12"/>
      <c r="AE270" s="12"/>
      <c r="AF270" s="13">
        <f>H270+I270+J270+K270+M270-N270</f>
        <v>46218</v>
      </c>
      <c r="AG270" s="13">
        <f>SUM(O270:AE270)</f>
        <v>11667</v>
      </c>
      <c r="AH270" s="13">
        <f>AF270-AG270</f>
        <v>34551</v>
      </c>
      <c r="AI270" s="12"/>
      <c r="AJ270" s="12"/>
      <c r="AK270" s="12"/>
    </row>
    <row r="271" spans="1:37">
      <c r="A271" s="16">
        <v>14</v>
      </c>
      <c r="B271" s="16">
        <v>1677</v>
      </c>
      <c r="C271" s="16" t="s">
        <v>298</v>
      </c>
      <c r="D271" s="12" t="s">
        <v>28</v>
      </c>
      <c r="E271" s="12"/>
      <c r="F271" s="11" t="s">
        <v>248</v>
      </c>
      <c r="G271" s="12" t="s">
        <v>62</v>
      </c>
      <c r="H271" s="9"/>
      <c r="I271" s="12"/>
      <c r="J271" s="12">
        <v>150</v>
      </c>
      <c r="K271" s="12"/>
      <c r="L271" s="12">
        <v>11517</v>
      </c>
      <c r="M271" s="11">
        <f>L271*4+AI271-AJ271</f>
        <v>46068</v>
      </c>
      <c r="N271" s="13"/>
      <c r="O271" s="12"/>
      <c r="P271" s="12"/>
      <c r="Q271" s="12"/>
      <c r="R271" s="12"/>
      <c r="S271" s="12"/>
      <c r="T271" s="12">
        <v>11667</v>
      </c>
      <c r="U271" s="12"/>
      <c r="V271" s="12"/>
      <c r="W271" s="12"/>
      <c r="X271" s="12"/>
      <c r="Y271" s="12"/>
      <c r="Z271" s="12"/>
      <c r="AA271" s="12"/>
      <c r="AB271" s="12"/>
      <c r="AC271" s="12"/>
      <c r="AD271" s="12"/>
      <c r="AE271" s="12"/>
      <c r="AF271" s="13">
        <f>H271+I271+J271+K271+M271-N271</f>
        <v>46218</v>
      </c>
      <c r="AG271" s="13">
        <f>SUM(O271:AE271)</f>
        <v>11667</v>
      </c>
      <c r="AH271" s="13">
        <f>AF271-AG271</f>
        <v>34551</v>
      </c>
      <c r="AI271" s="12"/>
      <c r="AJ271" s="12"/>
      <c r="AK271" s="12"/>
    </row>
    <row r="272" spans="1:37">
      <c r="A272" s="10">
        <v>15</v>
      </c>
      <c r="B272" s="16">
        <v>1680</v>
      </c>
      <c r="C272" s="16" t="s">
        <v>299</v>
      </c>
      <c r="D272" s="12" t="s">
        <v>23</v>
      </c>
      <c r="E272" s="12"/>
      <c r="F272" s="11" t="s">
        <v>248</v>
      </c>
      <c r="G272" s="12" t="s">
        <v>62</v>
      </c>
      <c r="H272" s="9"/>
      <c r="I272" s="12"/>
      <c r="J272" s="12">
        <v>150</v>
      </c>
      <c r="K272" s="12"/>
      <c r="L272" s="12">
        <v>11517</v>
      </c>
      <c r="M272" s="11">
        <f>L272*4+AI272-AJ272</f>
        <v>46068</v>
      </c>
      <c r="N272" s="13"/>
      <c r="O272" s="12"/>
      <c r="P272" s="12"/>
      <c r="Q272" s="12"/>
      <c r="R272" s="12"/>
      <c r="S272" s="12">
        <v>11667</v>
      </c>
      <c r="T272" s="12"/>
      <c r="U272" s="12"/>
      <c r="V272" s="12"/>
      <c r="W272" s="12"/>
      <c r="X272" s="12"/>
      <c r="Y272" s="12"/>
      <c r="Z272" s="12"/>
      <c r="AA272" s="12"/>
      <c r="AB272" s="12"/>
      <c r="AC272" s="12"/>
      <c r="AD272" s="12"/>
      <c r="AE272" s="12"/>
      <c r="AF272" s="13">
        <f>H272+I272+J272+K272+M272-N272</f>
        <v>46218</v>
      </c>
      <c r="AG272" s="13">
        <f>SUM(O272:AE272)</f>
        <v>11667</v>
      </c>
      <c r="AH272" s="13">
        <f>AF272-AG272</f>
        <v>34551</v>
      </c>
      <c r="AI272" s="12"/>
      <c r="AJ272" s="12"/>
      <c r="AK272" s="12"/>
    </row>
    <row r="273" spans="1:37">
      <c r="A273" s="16">
        <v>16</v>
      </c>
      <c r="B273" s="17">
        <v>2124</v>
      </c>
      <c r="C273" s="17" t="s">
        <v>300</v>
      </c>
      <c r="D273" s="18" t="s">
        <v>28</v>
      </c>
      <c r="E273" s="18"/>
      <c r="F273" s="15" t="s">
        <v>248</v>
      </c>
      <c r="G273" s="18" t="s">
        <v>62</v>
      </c>
      <c r="H273" s="9"/>
      <c r="I273" s="12"/>
      <c r="J273" s="12">
        <v>150</v>
      </c>
      <c r="K273" s="12"/>
      <c r="L273" s="12">
        <v>0</v>
      </c>
      <c r="M273" s="11">
        <f>L273*4+AI273-AJ273</f>
        <v>0</v>
      </c>
      <c r="N273" s="13"/>
      <c r="O273" s="12"/>
      <c r="P273" s="12"/>
      <c r="Q273" s="12"/>
      <c r="R273" s="12"/>
      <c r="S273" s="12"/>
      <c r="T273" s="12">
        <v>150</v>
      </c>
      <c r="U273" s="12"/>
      <c r="V273" s="12"/>
      <c r="W273" s="12"/>
      <c r="X273" s="12"/>
      <c r="Y273" s="12"/>
      <c r="Z273" s="12"/>
      <c r="AA273" s="12"/>
      <c r="AB273" s="12"/>
      <c r="AC273" s="12"/>
      <c r="AD273" s="12"/>
      <c r="AE273" s="12"/>
      <c r="AF273" s="13">
        <f>H273+I273+J273+K273+M273-N273</f>
        <v>150</v>
      </c>
      <c r="AG273" s="13">
        <f>SUM(O273:AE273)</f>
        <v>150</v>
      </c>
      <c r="AH273" s="13">
        <f>AF273-AG273</f>
        <v>0</v>
      </c>
      <c r="AI273" s="12"/>
      <c r="AJ273" s="12"/>
      <c r="AK273" s="12"/>
    </row>
    <row r="274" spans="1:37">
      <c r="A274" s="10">
        <v>17</v>
      </c>
      <c r="B274" s="17">
        <v>2120</v>
      </c>
      <c r="C274" s="17" t="s">
        <v>301</v>
      </c>
      <c r="D274" s="18" t="s">
        <v>28</v>
      </c>
      <c r="E274" s="18"/>
      <c r="F274" s="15" t="s">
        <v>248</v>
      </c>
      <c r="G274" s="18" t="s">
        <v>62</v>
      </c>
      <c r="H274" s="9"/>
      <c r="I274" s="12"/>
      <c r="J274" s="12">
        <v>150</v>
      </c>
      <c r="K274" s="12"/>
      <c r="L274" s="12">
        <v>0</v>
      </c>
      <c r="M274" s="11">
        <f>L274*4+AI274-AJ274</f>
        <v>0</v>
      </c>
      <c r="N274" s="13"/>
      <c r="O274" s="12"/>
      <c r="P274" s="12"/>
      <c r="Q274" s="12"/>
      <c r="R274" s="12"/>
      <c r="S274" s="12"/>
      <c r="T274" s="12">
        <v>150</v>
      </c>
      <c r="U274" s="12"/>
      <c r="V274" s="12"/>
      <c r="W274" s="12"/>
      <c r="X274" s="12"/>
      <c r="Y274" s="12"/>
      <c r="Z274" s="12"/>
      <c r="AA274" s="12"/>
      <c r="AB274" s="12"/>
      <c r="AC274" s="12"/>
      <c r="AD274" s="12"/>
      <c r="AE274" s="12"/>
      <c r="AF274" s="13">
        <f>H274+I274+J274+K274+M274-N274</f>
        <v>150</v>
      </c>
      <c r="AG274" s="13">
        <f>SUM(O274:AE274)</f>
        <v>150</v>
      </c>
      <c r="AH274" s="13">
        <f>AF274-AG274</f>
        <v>0</v>
      </c>
      <c r="AI274" s="12"/>
      <c r="AJ274" s="12"/>
      <c r="AK274" s="12"/>
    </row>
    <row r="275" spans="1:37">
      <c r="A275" s="16">
        <v>18</v>
      </c>
      <c r="B275" s="16">
        <v>1733</v>
      </c>
      <c r="C275" s="16" t="s">
        <v>302</v>
      </c>
      <c r="D275" s="12" t="s">
        <v>23</v>
      </c>
      <c r="E275" s="12"/>
      <c r="F275" s="11" t="s">
        <v>248</v>
      </c>
      <c r="G275" s="12" t="s">
        <v>62</v>
      </c>
      <c r="H275" s="9"/>
      <c r="I275" s="12"/>
      <c r="J275" s="12">
        <v>150</v>
      </c>
      <c r="K275" s="12"/>
      <c r="L275" s="12">
        <v>11517</v>
      </c>
      <c r="M275" s="11">
        <f>L275*4+AI275-AJ275</f>
        <v>46068</v>
      </c>
      <c r="N275" s="13"/>
      <c r="O275" s="12"/>
      <c r="P275" s="12"/>
      <c r="Q275" s="12"/>
      <c r="R275" s="12"/>
      <c r="S275" s="12"/>
      <c r="T275" s="12"/>
      <c r="U275" s="12">
        <v>11667</v>
      </c>
      <c r="V275" s="12"/>
      <c r="W275" s="12"/>
      <c r="X275" s="12"/>
      <c r="Y275" s="12"/>
      <c r="Z275" s="12"/>
      <c r="AA275" s="12"/>
      <c r="AB275" s="12"/>
      <c r="AC275" s="12"/>
      <c r="AD275" s="12"/>
      <c r="AE275" s="12"/>
      <c r="AF275" s="13">
        <f>H275+I275+J275+K275+M275-N275</f>
        <v>46218</v>
      </c>
      <c r="AG275" s="13">
        <f>SUM(O275:AE275)</f>
        <v>11667</v>
      </c>
      <c r="AH275" s="13">
        <f>AF275-AG275</f>
        <v>34551</v>
      </c>
      <c r="AI275" s="12"/>
      <c r="AJ275" s="12"/>
      <c r="AK275" s="12"/>
    </row>
    <row r="276" spans="1:37">
      <c r="A276" s="10">
        <v>19</v>
      </c>
      <c r="B276" s="16">
        <v>1729</v>
      </c>
      <c r="C276" s="16" t="s">
        <v>303</v>
      </c>
      <c r="D276" s="12" t="s">
        <v>23</v>
      </c>
      <c r="E276" s="12"/>
      <c r="F276" s="11" t="s">
        <v>248</v>
      </c>
      <c r="G276" s="12" t="s">
        <v>62</v>
      </c>
      <c r="H276" s="12"/>
      <c r="I276" s="12"/>
      <c r="J276" s="12">
        <v>150</v>
      </c>
      <c r="K276" s="12"/>
      <c r="L276" s="12">
        <v>11517</v>
      </c>
      <c r="M276" s="11">
        <f>L276*4+AI276-AJ276</f>
        <v>46068</v>
      </c>
      <c r="N276" s="13"/>
      <c r="O276" s="12"/>
      <c r="P276" s="12"/>
      <c r="Q276" s="12"/>
      <c r="R276" s="12"/>
      <c r="S276" s="12"/>
      <c r="T276" s="12">
        <v>11667</v>
      </c>
      <c r="U276" s="12"/>
      <c r="V276" s="12"/>
      <c r="W276" s="12"/>
      <c r="X276" s="12"/>
      <c r="Y276" s="12"/>
      <c r="Z276" s="12"/>
      <c r="AA276" s="12"/>
      <c r="AB276" s="12"/>
      <c r="AC276" s="12"/>
      <c r="AD276" s="12"/>
      <c r="AE276" s="12"/>
      <c r="AF276" s="13">
        <f>H276+I276+J276+K276+M276-N276</f>
        <v>46218</v>
      </c>
      <c r="AG276" s="13">
        <f>SUM(O276:AE276)</f>
        <v>11667</v>
      </c>
      <c r="AH276" s="13">
        <f>AF276-AG276</f>
        <v>34551</v>
      </c>
      <c r="AI276" s="12"/>
      <c r="AJ276" s="12"/>
      <c r="AK276" s="12"/>
    </row>
    <row r="277" spans="1:37">
      <c r="A277" s="16">
        <v>20</v>
      </c>
      <c r="B277" s="17">
        <v>1778</v>
      </c>
      <c r="C277" s="17" t="s">
        <v>304</v>
      </c>
      <c r="D277" s="18" t="s">
        <v>28</v>
      </c>
      <c r="E277" s="18"/>
      <c r="F277" s="15" t="s">
        <v>248</v>
      </c>
      <c r="G277" s="18" t="s">
        <v>62</v>
      </c>
      <c r="H277" s="9"/>
      <c r="I277" s="12"/>
      <c r="J277" s="12">
        <v>150</v>
      </c>
      <c r="K277" s="12"/>
      <c r="L277" s="12">
        <v>0</v>
      </c>
      <c r="M277" s="11">
        <f>L277*4+AI277-AJ277</f>
        <v>0</v>
      </c>
      <c r="N277" s="13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  <c r="AA277" s="12"/>
      <c r="AB277" s="12"/>
      <c r="AC277" s="12"/>
      <c r="AD277" s="12"/>
      <c r="AE277" s="12"/>
      <c r="AF277" s="13">
        <f>H277+I277+J277+K277+M277-N277</f>
        <v>150</v>
      </c>
      <c r="AG277" s="13">
        <f>SUM(O277:AE277)</f>
        <v>0</v>
      </c>
      <c r="AH277" s="13">
        <f>AF277-AG277</f>
        <v>150</v>
      </c>
      <c r="AI277" s="12"/>
      <c r="AJ277" s="12"/>
      <c r="AK277" s="12"/>
    </row>
    <row r="278" spans="1:37">
      <c r="A278" s="10">
        <v>21</v>
      </c>
      <c r="B278" s="16">
        <v>1697</v>
      </c>
      <c r="C278" s="16" t="s">
        <v>305</v>
      </c>
      <c r="D278" s="12" t="s">
        <v>28</v>
      </c>
      <c r="E278" s="12"/>
      <c r="F278" s="11" t="s">
        <v>248</v>
      </c>
      <c r="G278" s="12" t="s">
        <v>62</v>
      </c>
      <c r="H278" s="9"/>
      <c r="I278" s="12"/>
      <c r="J278" s="12">
        <v>150</v>
      </c>
      <c r="K278" s="12"/>
      <c r="L278" s="12">
        <v>11517</v>
      </c>
      <c r="M278" s="11">
        <f>L278*4+AI278-AJ278</f>
        <v>46068</v>
      </c>
      <c r="N278" s="13"/>
      <c r="O278" s="12"/>
      <c r="P278" s="12"/>
      <c r="Q278" s="12"/>
      <c r="R278" s="12"/>
      <c r="S278" s="12">
        <v>11667</v>
      </c>
      <c r="T278" s="12"/>
      <c r="U278" s="12"/>
      <c r="V278" s="12">
        <v>11517</v>
      </c>
      <c r="W278" s="12"/>
      <c r="X278" s="12"/>
      <c r="Y278" s="12"/>
      <c r="Z278" s="12"/>
      <c r="AA278" s="12"/>
      <c r="AB278" s="12"/>
      <c r="AC278" s="12"/>
      <c r="AD278" s="12"/>
      <c r="AE278" s="12"/>
      <c r="AF278" s="13">
        <f>H278+I278+J278+K278+M278-N278</f>
        <v>46218</v>
      </c>
      <c r="AG278" s="13">
        <f>SUM(O278:AE278)</f>
        <v>23184</v>
      </c>
      <c r="AH278" s="13">
        <f>AF278-AG278</f>
        <v>23034</v>
      </c>
      <c r="AI278" s="12"/>
      <c r="AJ278" s="12"/>
      <c r="AK278" s="12"/>
    </row>
    <row r="279" spans="1:37">
      <c r="A279" s="16">
        <v>22</v>
      </c>
      <c r="B279" s="16">
        <v>1902</v>
      </c>
      <c r="C279" s="16" t="s">
        <v>306</v>
      </c>
      <c r="D279" s="12" t="s">
        <v>23</v>
      </c>
      <c r="E279" s="12"/>
      <c r="F279" s="11" t="s">
        <v>248</v>
      </c>
      <c r="G279" s="12" t="s">
        <v>62</v>
      </c>
      <c r="H279" s="9"/>
      <c r="I279" s="12"/>
      <c r="J279" s="12">
        <v>150</v>
      </c>
      <c r="K279" s="12"/>
      <c r="L279" s="12">
        <v>11517</v>
      </c>
      <c r="M279" s="11">
        <f>L279*4+AI279-AJ279</f>
        <v>46068</v>
      </c>
      <c r="N279" s="13"/>
      <c r="O279" s="12"/>
      <c r="P279" s="12"/>
      <c r="Q279" s="12"/>
      <c r="R279" s="12"/>
      <c r="S279" s="12">
        <v>11667</v>
      </c>
      <c r="T279" s="12"/>
      <c r="U279" s="12"/>
      <c r="V279" s="12"/>
      <c r="W279" s="12"/>
      <c r="X279" s="12"/>
      <c r="Y279" s="12"/>
      <c r="Z279" s="12"/>
      <c r="AA279" s="12"/>
      <c r="AB279" s="12"/>
      <c r="AC279" s="12"/>
      <c r="AD279" s="12"/>
      <c r="AE279" s="12"/>
      <c r="AF279" s="13">
        <f>H279+I279+J279+K279+M279-N279</f>
        <v>46218</v>
      </c>
      <c r="AG279" s="13">
        <f>SUM(O279:AE279)</f>
        <v>11667</v>
      </c>
      <c r="AH279" s="13">
        <f>AF279-AG279</f>
        <v>34551</v>
      </c>
      <c r="AI279" s="12"/>
      <c r="AJ279" s="12"/>
      <c r="AK279" s="12"/>
    </row>
    <row r="280" spans="1:37">
      <c r="A280" s="10">
        <v>23</v>
      </c>
      <c r="B280" s="16">
        <v>1698</v>
      </c>
      <c r="C280" s="16" t="s">
        <v>307</v>
      </c>
      <c r="D280" s="12" t="s">
        <v>23</v>
      </c>
      <c r="E280" s="12"/>
      <c r="F280" s="11" t="s">
        <v>248</v>
      </c>
      <c r="G280" s="12" t="s">
        <v>62</v>
      </c>
      <c r="H280" s="9"/>
      <c r="I280" s="12"/>
      <c r="J280" s="12">
        <v>150</v>
      </c>
      <c r="K280" s="12"/>
      <c r="L280" s="12">
        <v>11517</v>
      </c>
      <c r="M280" s="11">
        <f>L280*4+AI280-AJ280</f>
        <v>46068</v>
      </c>
      <c r="N280" s="13"/>
      <c r="O280" s="12"/>
      <c r="P280" s="12"/>
      <c r="Q280" s="12"/>
      <c r="R280" s="12"/>
      <c r="S280" s="12">
        <v>11667</v>
      </c>
      <c r="T280" s="12"/>
      <c r="U280" s="12"/>
      <c r="V280" s="12">
        <v>11517</v>
      </c>
      <c r="W280" s="12"/>
      <c r="X280" s="12"/>
      <c r="Y280" s="12"/>
      <c r="Z280" s="12"/>
      <c r="AA280" s="12"/>
      <c r="AB280" s="12"/>
      <c r="AC280" s="12"/>
      <c r="AD280" s="12"/>
      <c r="AE280" s="12"/>
      <c r="AF280" s="13">
        <f>H280+I280+J280+K280+M280-N280</f>
        <v>46218</v>
      </c>
      <c r="AG280" s="13">
        <f>SUM(O280:AE280)</f>
        <v>23184</v>
      </c>
      <c r="AH280" s="13">
        <f>AF280-AG280</f>
        <v>23034</v>
      </c>
      <c r="AI280" s="12"/>
      <c r="AJ280" s="12"/>
      <c r="AK280" s="12"/>
    </row>
    <row r="281" spans="1:37">
      <c r="A281" s="16">
        <v>24</v>
      </c>
      <c r="B281" s="16">
        <v>1912</v>
      </c>
      <c r="C281" s="16" t="s">
        <v>308</v>
      </c>
      <c r="D281" s="12" t="s">
        <v>28</v>
      </c>
      <c r="E281" s="12"/>
      <c r="F281" s="11" t="s">
        <v>248</v>
      </c>
      <c r="G281" s="12" t="s">
        <v>62</v>
      </c>
      <c r="H281" s="9"/>
      <c r="I281" s="12"/>
      <c r="J281" s="12">
        <v>150</v>
      </c>
      <c r="K281" s="12"/>
      <c r="L281" s="12">
        <v>11517</v>
      </c>
      <c r="M281" s="11">
        <f>L281*4+AI281-AJ281</f>
        <v>46068</v>
      </c>
      <c r="N281" s="13"/>
      <c r="O281" s="12"/>
      <c r="P281" s="12"/>
      <c r="Q281" s="12"/>
      <c r="R281" s="12"/>
      <c r="S281" s="12"/>
      <c r="T281" s="12"/>
      <c r="U281" s="12">
        <v>11667</v>
      </c>
      <c r="V281" s="12"/>
      <c r="W281" s="12"/>
      <c r="X281" s="12"/>
      <c r="Y281" s="12"/>
      <c r="Z281" s="12"/>
      <c r="AA281" s="12"/>
      <c r="AB281" s="12"/>
      <c r="AC281" s="12"/>
      <c r="AD281" s="12"/>
      <c r="AE281" s="12"/>
      <c r="AF281" s="13">
        <f>H281+I281+J281+K281+M281-N281</f>
        <v>46218</v>
      </c>
      <c r="AG281" s="13">
        <f>SUM(O281:AE281)</f>
        <v>11667</v>
      </c>
      <c r="AH281" s="13">
        <f>AF281-AG281</f>
        <v>34551</v>
      </c>
      <c r="AI281" s="12"/>
      <c r="AJ281" s="12"/>
      <c r="AK281" s="12"/>
    </row>
    <row r="282" spans="1:37">
      <c r="A282" s="10">
        <v>25</v>
      </c>
      <c r="B282" s="16">
        <v>2095</v>
      </c>
      <c r="C282" s="12" t="s">
        <v>309</v>
      </c>
      <c r="D282" s="16" t="s">
        <v>23</v>
      </c>
      <c r="E282" s="16"/>
      <c r="F282" s="11" t="s">
        <v>248</v>
      </c>
      <c r="G282" s="12" t="s">
        <v>62</v>
      </c>
      <c r="H282" s="9"/>
      <c r="I282" s="12"/>
      <c r="J282" s="12">
        <v>150</v>
      </c>
      <c r="K282" s="12"/>
      <c r="L282" s="12">
        <v>11517</v>
      </c>
      <c r="M282" s="11">
        <f>L282*4+AI282-AJ282</f>
        <v>46068</v>
      </c>
      <c r="N282" s="13"/>
      <c r="O282" s="9"/>
      <c r="P282" s="12"/>
      <c r="Q282" s="12"/>
      <c r="R282" s="12"/>
      <c r="S282" s="12">
        <v>11667</v>
      </c>
      <c r="T282" s="12"/>
      <c r="U282" s="12"/>
      <c r="V282" s="12">
        <v>11517</v>
      </c>
      <c r="W282" s="12"/>
      <c r="X282" s="12"/>
      <c r="Y282" s="12"/>
      <c r="Z282" s="12"/>
      <c r="AA282" s="12"/>
      <c r="AB282" s="12"/>
      <c r="AC282" s="12"/>
      <c r="AD282" s="12"/>
      <c r="AE282" s="12"/>
      <c r="AF282" s="13">
        <f>H282+I282+J282+K282+M282-N282</f>
        <v>46218</v>
      </c>
      <c r="AG282" s="13">
        <f>SUM(O282:AE282)</f>
        <v>23184</v>
      </c>
      <c r="AH282" s="13">
        <f>AF282-AG282</f>
        <v>23034</v>
      </c>
      <c r="AI282" s="12"/>
      <c r="AJ282" s="12"/>
      <c r="AK282" s="12"/>
    </row>
    <row r="283" spans="1:37">
      <c r="A283" s="16">
        <v>26</v>
      </c>
      <c r="B283" s="16">
        <v>1700</v>
      </c>
      <c r="C283" s="16" t="s">
        <v>310</v>
      </c>
      <c r="D283" s="12" t="s">
        <v>23</v>
      </c>
      <c r="E283" s="12"/>
      <c r="F283" s="11" t="s">
        <v>248</v>
      </c>
      <c r="G283" s="12" t="s">
        <v>62</v>
      </c>
      <c r="H283" s="9"/>
      <c r="I283" s="12"/>
      <c r="J283" s="12">
        <v>150</v>
      </c>
      <c r="K283" s="12"/>
      <c r="L283" s="12">
        <v>11517</v>
      </c>
      <c r="M283" s="11">
        <f>L283*4+AI283-AJ283</f>
        <v>46068</v>
      </c>
      <c r="N283" s="13"/>
      <c r="O283" s="12"/>
      <c r="P283" s="12"/>
      <c r="Q283" s="12"/>
      <c r="R283" s="12"/>
      <c r="S283" s="11">
        <f>2000+9667</f>
        <v>11667</v>
      </c>
      <c r="T283" s="12"/>
      <c r="U283" s="12"/>
      <c r="V283" s="12"/>
      <c r="W283" s="12"/>
      <c r="X283" s="12"/>
      <c r="Y283" s="12"/>
      <c r="Z283" s="12"/>
      <c r="AA283" s="12"/>
      <c r="AB283" s="12"/>
      <c r="AC283" s="12"/>
      <c r="AD283" s="12"/>
      <c r="AE283" s="12"/>
      <c r="AF283" s="13">
        <f>H283+I283+J283+K283+M283-N283</f>
        <v>46218</v>
      </c>
      <c r="AG283" s="13">
        <f>SUM(O283:AE283)</f>
        <v>11667</v>
      </c>
      <c r="AH283" s="13">
        <f>AF283-AG283</f>
        <v>34551</v>
      </c>
      <c r="AI283" s="12"/>
      <c r="AJ283" s="12"/>
      <c r="AK283" s="12"/>
    </row>
    <row r="284" spans="1:37">
      <c r="A284" s="10">
        <v>27</v>
      </c>
      <c r="B284" s="16">
        <v>1681</v>
      </c>
      <c r="C284" s="16" t="s">
        <v>311</v>
      </c>
      <c r="D284" s="12" t="s">
        <v>28</v>
      </c>
      <c r="E284" s="12"/>
      <c r="F284" s="11" t="s">
        <v>248</v>
      </c>
      <c r="G284" s="12" t="s">
        <v>62</v>
      </c>
      <c r="H284" s="9"/>
      <c r="I284" s="12"/>
      <c r="J284" s="12">
        <v>150</v>
      </c>
      <c r="K284" s="12"/>
      <c r="L284" s="12">
        <v>11517</v>
      </c>
      <c r="M284" s="11">
        <f>L284*4+AI284-AJ284</f>
        <v>46068</v>
      </c>
      <c r="N284" s="13"/>
      <c r="O284" s="12"/>
      <c r="P284" s="12"/>
      <c r="Q284" s="12"/>
      <c r="R284" s="12"/>
      <c r="S284" s="11">
        <f>2000+9667</f>
        <v>11667</v>
      </c>
      <c r="T284" s="12"/>
      <c r="U284" s="12"/>
      <c r="V284" s="12">
        <v>11667</v>
      </c>
      <c r="W284" s="12"/>
      <c r="X284" s="12"/>
      <c r="Y284" s="12"/>
      <c r="Z284" s="12"/>
      <c r="AA284" s="12"/>
      <c r="AB284" s="12"/>
      <c r="AC284" s="12"/>
      <c r="AD284" s="12"/>
      <c r="AE284" s="12"/>
      <c r="AF284" s="13">
        <f>H284+I284+J284+K284+M284-N284</f>
        <v>46218</v>
      </c>
      <c r="AG284" s="13">
        <f>SUM(O284:AE284)</f>
        <v>23334</v>
      </c>
      <c r="AH284" s="13">
        <f>AF284-AG284</f>
        <v>22884</v>
      </c>
      <c r="AI284" s="12"/>
      <c r="AJ284" s="12"/>
      <c r="AK284" s="12"/>
    </row>
    <row r="285" spans="1:37">
      <c r="A285" s="16">
        <v>28</v>
      </c>
      <c r="B285" s="16">
        <v>1701</v>
      </c>
      <c r="C285" s="16" t="s">
        <v>312</v>
      </c>
      <c r="D285" s="12" t="s">
        <v>23</v>
      </c>
      <c r="E285" s="12"/>
      <c r="F285" s="11" t="s">
        <v>248</v>
      </c>
      <c r="G285" s="12" t="s">
        <v>62</v>
      </c>
      <c r="H285" s="9"/>
      <c r="I285" s="12"/>
      <c r="J285" s="12">
        <v>150</v>
      </c>
      <c r="K285" s="12"/>
      <c r="L285" s="12">
        <v>11517</v>
      </c>
      <c r="M285" s="11">
        <f>L285*4+AI285-AJ285</f>
        <v>46068</v>
      </c>
      <c r="N285" s="13"/>
      <c r="O285" s="12"/>
      <c r="P285" s="12"/>
      <c r="Q285" s="12"/>
      <c r="R285" s="12"/>
      <c r="S285" s="12"/>
      <c r="T285" s="12"/>
      <c r="U285" s="12">
        <v>11667</v>
      </c>
      <c r="V285" s="12"/>
      <c r="W285" s="12"/>
      <c r="X285" s="12"/>
      <c r="Y285" s="12"/>
      <c r="Z285" s="12"/>
      <c r="AA285" s="12"/>
      <c r="AB285" s="12"/>
      <c r="AC285" s="12"/>
      <c r="AD285" s="12"/>
      <c r="AE285" s="12"/>
      <c r="AF285" s="13">
        <f>H285+I285+J285+K285+M285-N285</f>
        <v>46218</v>
      </c>
      <c r="AG285" s="13">
        <f>SUM(O285:AE285)</f>
        <v>11667</v>
      </c>
      <c r="AH285" s="13">
        <f>AF285-AG285</f>
        <v>34551</v>
      </c>
      <c r="AI285" s="12"/>
      <c r="AJ285" s="12"/>
      <c r="AK285" s="12"/>
    </row>
    <row r="286" spans="1:37">
      <c r="A286" s="10">
        <v>29</v>
      </c>
      <c r="B286" s="16">
        <v>1722</v>
      </c>
      <c r="C286" s="16" t="s">
        <v>313</v>
      </c>
      <c r="D286" s="12" t="s">
        <v>23</v>
      </c>
      <c r="E286" s="12"/>
      <c r="F286" s="11" t="s">
        <v>248</v>
      </c>
      <c r="G286" s="12" t="s">
        <v>62</v>
      </c>
      <c r="H286" s="9"/>
      <c r="I286" s="12"/>
      <c r="J286" s="12">
        <v>150</v>
      </c>
      <c r="K286" s="12"/>
      <c r="L286" s="12">
        <v>11517</v>
      </c>
      <c r="M286" s="11">
        <f>L286*4+AI286-AJ286</f>
        <v>46068</v>
      </c>
      <c r="N286" s="13"/>
      <c r="O286" s="12"/>
      <c r="P286" s="12"/>
      <c r="Q286" s="12"/>
      <c r="R286" s="12"/>
      <c r="S286" s="12">
        <v>11667</v>
      </c>
      <c r="T286" s="12"/>
      <c r="U286" s="12"/>
      <c r="V286" s="12">
        <v>11517</v>
      </c>
      <c r="W286" s="12"/>
      <c r="X286" s="12"/>
      <c r="Y286" s="12"/>
      <c r="Z286" s="12"/>
      <c r="AA286" s="12"/>
      <c r="AB286" s="12"/>
      <c r="AC286" s="12"/>
      <c r="AD286" s="12"/>
      <c r="AE286" s="12"/>
      <c r="AF286" s="13">
        <f>H286+I286+J286+K286+M286-N286</f>
        <v>46218</v>
      </c>
      <c r="AG286" s="13">
        <f>SUM(O286:AE286)</f>
        <v>23184</v>
      </c>
      <c r="AH286" s="13">
        <f>AF286-AG286</f>
        <v>23034</v>
      </c>
      <c r="AI286" s="12"/>
      <c r="AJ286" s="12"/>
      <c r="AK286" s="12"/>
    </row>
    <row r="287" spans="1:37">
      <c r="A287" s="16">
        <v>30</v>
      </c>
      <c r="B287" s="16">
        <v>1956</v>
      </c>
      <c r="C287" s="16" t="s">
        <v>314</v>
      </c>
      <c r="D287" s="12" t="s">
        <v>28</v>
      </c>
      <c r="E287" s="12"/>
      <c r="F287" s="11" t="s">
        <v>248</v>
      </c>
      <c r="G287" s="12" t="s">
        <v>62</v>
      </c>
      <c r="H287" s="9"/>
      <c r="I287" s="12"/>
      <c r="J287" s="12">
        <v>150</v>
      </c>
      <c r="K287" s="12"/>
      <c r="L287" s="12">
        <v>11517</v>
      </c>
      <c r="M287" s="11">
        <f>L287*4+AI287-AJ287</f>
        <v>46068</v>
      </c>
      <c r="N287" s="13"/>
      <c r="O287" s="12"/>
      <c r="P287" s="12"/>
      <c r="Q287" s="12"/>
      <c r="R287" s="12"/>
      <c r="S287" s="12">
        <v>11667</v>
      </c>
      <c r="T287" s="12"/>
      <c r="U287" s="12"/>
      <c r="V287" s="12">
        <v>11517</v>
      </c>
      <c r="W287" s="12"/>
      <c r="X287" s="12"/>
      <c r="Y287" s="12"/>
      <c r="Z287" s="12"/>
      <c r="AA287" s="12"/>
      <c r="AB287" s="12"/>
      <c r="AC287" s="12"/>
      <c r="AD287" s="12"/>
      <c r="AE287" s="12"/>
      <c r="AF287" s="13">
        <f>H287+I287+J287+K287+M287-N287</f>
        <v>46218</v>
      </c>
      <c r="AG287" s="13">
        <f>SUM(O287:AE287)</f>
        <v>23184</v>
      </c>
      <c r="AH287" s="13">
        <f>AF287-AG287</f>
        <v>23034</v>
      </c>
      <c r="AI287" s="12"/>
      <c r="AJ287" s="12"/>
      <c r="AK287" s="12"/>
    </row>
    <row r="288" spans="1:37">
      <c r="A288" s="10">
        <v>31</v>
      </c>
      <c r="B288" s="16">
        <v>1703</v>
      </c>
      <c r="C288" s="16" t="s">
        <v>315</v>
      </c>
      <c r="D288" s="12" t="s">
        <v>28</v>
      </c>
      <c r="E288" s="12"/>
      <c r="F288" s="11" t="s">
        <v>248</v>
      </c>
      <c r="G288" s="12" t="s">
        <v>62</v>
      </c>
      <c r="H288" s="9"/>
      <c r="I288" s="12"/>
      <c r="J288" s="12">
        <v>150</v>
      </c>
      <c r="K288" s="12"/>
      <c r="L288" s="12">
        <v>11517</v>
      </c>
      <c r="M288" s="11">
        <f>L288*4+AI288-AJ288</f>
        <v>46068</v>
      </c>
      <c r="N288" s="13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  <c r="AA288" s="12"/>
      <c r="AB288" s="12"/>
      <c r="AC288" s="12"/>
      <c r="AD288" s="12"/>
      <c r="AE288" s="12"/>
      <c r="AF288" s="13">
        <f>H288+I288+J288+K288+M288-N288</f>
        <v>46218</v>
      </c>
      <c r="AG288" s="13">
        <f>SUM(O288:AE288)</f>
        <v>0</v>
      </c>
      <c r="AH288" s="13">
        <f>AF288-AG288</f>
        <v>46218</v>
      </c>
      <c r="AI288" s="12"/>
      <c r="AJ288" s="12"/>
      <c r="AK288" s="12"/>
    </row>
    <row r="289" spans="1:37">
      <c r="A289" s="16">
        <v>32</v>
      </c>
      <c r="B289" s="16">
        <v>1704</v>
      </c>
      <c r="C289" s="16" t="s">
        <v>316</v>
      </c>
      <c r="D289" s="12" t="s">
        <v>28</v>
      </c>
      <c r="E289" s="12"/>
      <c r="F289" s="11" t="s">
        <v>248</v>
      </c>
      <c r="G289" s="12" t="s">
        <v>62</v>
      </c>
      <c r="H289" s="9"/>
      <c r="I289" s="12"/>
      <c r="J289" s="12">
        <v>150</v>
      </c>
      <c r="K289" s="12"/>
      <c r="L289" s="12">
        <v>11517</v>
      </c>
      <c r="M289" s="11">
        <f>L289*4+AI289-AJ289</f>
        <v>46068</v>
      </c>
      <c r="N289" s="13"/>
      <c r="O289" s="12"/>
      <c r="P289" s="12"/>
      <c r="Q289" s="12"/>
      <c r="R289" s="12"/>
      <c r="S289" s="12"/>
      <c r="T289" s="12">
        <v>11667</v>
      </c>
      <c r="U289" s="12"/>
      <c r="V289" s="12"/>
      <c r="W289" s="12"/>
      <c r="X289" s="12"/>
      <c r="Y289" s="12"/>
      <c r="Z289" s="12"/>
      <c r="AA289" s="12"/>
      <c r="AB289" s="12"/>
      <c r="AC289" s="12"/>
      <c r="AD289" s="12"/>
      <c r="AE289" s="12"/>
      <c r="AF289" s="13">
        <f>H289+I289+J289+K289+M289-N289</f>
        <v>46218</v>
      </c>
      <c r="AG289" s="13">
        <f>SUM(O289:AE289)</f>
        <v>11667</v>
      </c>
      <c r="AH289" s="13">
        <f>AF289-AG289</f>
        <v>34551</v>
      </c>
      <c r="AI289" s="12"/>
      <c r="AJ289" s="12"/>
      <c r="AK289" s="12"/>
    </row>
    <row r="290" spans="1:37">
      <c r="A290" s="10">
        <v>33</v>
      </c>
      <c r="B290" s="16">
        <v>1723</v>
      </c>
      <c r="C290" s="16" t="s">
        <v>317</v>
      </c>
      <c r="D290" s="12" t="s">
        <v>28</v>
      </c>
      <c r="E290" s="12"/>
      <c r="F290" s="11" t="s">
        <v>248</v>
      </c>
      <c r="G290" s="12" t="s">
        <v>62</v>
      </c>
      <c r="H290" s="9"/>
      <c r="I290" s="12"/>
      <c r="J290" s="12">
        <v>150</v>
      </c>
      <c r="K290" s="12"/>
      <c r="L290" s="12">
        <v>11517</v>
      </c>
      <c r="M290" s="11">
        <f>L290*4+AI290-AJ290</f>
        <v>46068</v>
      </c>
      <c r="N290" s="13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  <c r="AA290" s="12"/>
      <c r="AB290" s="12"/>
      <c r="AC290" s="12"/>
      <c r="AD290" s="12"/>
      <c r="AE290" s="12"/>
      <c r="AF290" s="13">
        <f>H290+I290+J290+K290+M290-N290</f>
        <v>46218</v>
      </c>
      <c r="AG290" s="13">
        <f>SUM(O290:AE290)</f>
        <v>0</v>
      </c>
      <c r="AH290" s="13">
        <f>AF290-AG290</f>
        <v>46218</v>
      </c>
      <c r="AI290" s="12"/>
      <c r="AJ290" s="12"/>
      <c r="AK290" s="12"/>
    </row>
    <row r="291" spans="1:37">
      <c r="A291" s="16">
        <v>34</v>
      </c>
      <c r="B291" s="16">
        <v>1705</v>
      </c>
      <c r="C291" s="16" t="s">
        <v>318</v>
      </c>
      <c r="D291" s="12" t="s">
        <v>28</v>
      </c>
      <c r="E291" s="12"/>
      <c r="F291" s="11" t="s">
        <v>248</v>
      </c>
      <c r="G291" s="12" t="s">
        <v>62</v>
      </c>
      <c r="H291" s="9"/>
      <c r="I291" s="12"/>
      <c r="J291" s="12">
        <v>150</v>
      </c>
      <c r="K291" s="12"/>
      <c r="L291" s="12">
        <v>11517</v>
      </c>
      <c r="M291" s="11">
        <f>L291*4+AI291-AJ291</f>
        <v>46068</v>
      </c>
      <c r="N291" s="13"/>
      <c r="O291" s="12"/>
      <c r="P291" s="12"/>
      <c r="Q291" s="12"/>
      <c r="R291" s="12"/>
      <c r="S291" s="12">
        <v>11667</v>
      </c>
      <c r="T291" s="12"/>
      <c r="U291" s="12"/>
      <c r="V291" s="12">
        <v>11517</v>
      </c>
      <c r="W291" s="12"/>
      <c r="X291" s="12"/>
      <c r="Y291" s="12"/>
      <c r="Z291" s="12"/>
      <c r="AA291" s="12"/>
      <c r="AB291" s="12"/>
      <c r="AC291" s="12"/>
      <c r="AD291" s="12"/>
      <c r="AE291" s="12"/>
      <c r="AF291" s="13">
        <f>H291+I291+J291+K291+M291-N291</f>
        <v>46218</v>
      </c>
      <c r="AG291" s="13">
        <f>SUM(O291:AE291)</f>
        <v>23184</v>
      </c>
      <c r="AH291" s="13">
        <f>AF291-AG291</f>
        <v>23034</v>
      </c>
      <c r="AI291" s="12"/>
      <c r="AJ291" s="12"/>
      <c r="AK291" s="12"/>
    </row>
    <row r="292" spans="1:37">
      <c r="A292" s="10">
        <v>35</v>
      </c>
      <c r="B292" s="16">
        <v>1716</v>
      </c>
      <c r="C292" s="16" t="s">
        <v>319</v>
      </c>
      <c r="D292" s="12" t="s">
        <v>28</v>
      </c>
      <c r="E292" s="12"/>
      <c r="F292" s="11" t="s">
        <v>248</v>
      </c>
      <c r="G292" s="12" t="s">
        <v>62</v>
      </c>
      <c r="H292" s="9"/>
      <c r="I292" s="12"/>
      <c r="J292" s="12">
        <v>150</v>
      </c>
      <c r="K292" s="12"/>
      <c r="L292" s="12">
        <v>11517</v>
      </c>
      <c r="M292" s="11">
        <f>L292*4+AI292-AJ292</f>
        <v>46068</v>
      </c>
      <c r="N292" s="13">
        <v>2303</v>
      </c>
      <c r="O292" s="12"/>
      <c r="P292" s="12"/>
      <c r="Q292" s="12"/>
      <c r="R292" s="12"/>
      <c r="S292" s="12"/>
      <c r="T292" s="12">
        <v>43915</v>
      </c>
      <c r="U292" s="12"/>
      <c r="V292" s="12"/>
      <c r="W292" s="12"/>
      <c r="X292" s="12"/>
      <c r="Y292" s="12"/>
      <c r="Z292" s="12"/>
      <c r="AA292" s="12"/>
      <c r="AB292" s="12"/>
      <c r="AC292" s="12"/>
      <c r="AD292" s="12"/>
      <c r="AE292" s="12"/>
      <c r="AF292" s="13">
        <f>H292+I292+J292+K292+M292-N292</f>
        <v>43915</v>
      </c>
      <c r="AG292" s="13">
        <f>SUM(O292:AE292)</f>
        <v>43915</v>
      </c>
      <c r="AH292" s="13">
        <f>AF292-AG292</f>
        <v>0</v>
      </c>
      <c r="AI292" s="12"/>
      <c r="AJ292" s="12"/>
      <c r="AK292" s="12"/>
    </row>
    <row r="293" spans="1:37">
      <c r="A293" s="16">
        <v>36</v>
      </c>
      <c r="B293" s="16">
        <v>1712</v>
      </c>
      <c r="C293" s="16" t="s">
        <v>320</v>
      </c>
      <c r="D293" s="12" t="s">
        <v>28</v>
      </c>
      <c r="E293" s="12"/>
      <c r="F293" s="11" t="s">
        <v>248</v>
      </c>
      <c r="G293" s="12" t="s">
        <v>62</v>
      </c>
      <c r="H293" s="9"/>
      <c r="I293" s="12"/>
      <c r="J293" s="12">
        <v>150</v>
      </c>
      <c r="K293" s="12"/>
      <c r="L293" s="12">
        <v>11517</v>
      </c>
      <c r="M293" s="11">
        <f>L293*4+AI293-AJ293</f>
        <v>46068</v>
      </c>
      <c r="N293" s="13"/>
      <c r="O293" s="12"/>
      <c r="P293" s="12"/>
      <c r="Q293" s="12"/>
      <c r="R293" s="12"/>
      <c r="S293" s="12">
        <v>11667</v>
      </c>
      <c r="T293" s="12"/>
      <c r="U293" s="12"/>
      <c r="V293" s="12"/>
      <c r="W293" s="12"/>
      <c r="X293" s="12"/>
      <c r="Y293" s="12"/>
      <c r="Z293" s="12"/>
      <c r="AA293" s="12"/>
      <c r="AB293" s="12"/>
      <c r="AC293" s="12"/>
      <c r="AD293" s="12"/>
      <c r="AE293" s="12"/>
      <c r="AF293" s="13">
        <f>H293+I293+J293+K293+M293-N293</f>
        <v>46218</v>
      </c>
      <c r="AG293" s="13">
        <f>SUM(O293:AE293)</f>
        <v>11667</v>
      </c>
      <c r="AH293" s="13">
        <f>AF293-AG293</f>
        <v>34551</v>
      </c>
      <c r="AI293" s="12"/>
      <c r="AJ293" s="12"/>
      <c r="AK293" s="12"/>
    </row>
    <row r="294" spans="1:37">
      <c r="A294" s="10">
        <v>1</v>
      </c>
      <c r="B294" s="11">
        <v>1494</v>
      </c>
      <c r="C294" s="10" t="s">
        <v>321</v>
      </c>
      <c r="D294" s="11" t="s">
        <v>23</v>
      </c>
      <c r="E294" s="11"/>
      <c r="F294" s="10" t="s">
        <v>322</v>
      </c>
      <c r="G294" s="11" t="s">
        <v>26</v>
      </c>
      <c r="H294" s="9"/>
      <c r="I294" s="12"/>
      <c r="J294" s="12">
        <v>150</v>
      </c>
      <c r="K294" s="12"/>
      <c r="L294" s="12">
        <v>11517</v>
      </c>
      <c r="M294" s="11">
        <f>L294*4+AI294-AJ294</f>
        <v>46068</v>
      </c>
      <c r="N294" s="13"/>
      <c r="O294" s="12"/>
      <c r="P294" s="12"/>
      <c r="Q294" s="12"/>
      <c r="R294" s="12"/>
      <c r="S294" s="12"/>
      <c r="T294" s="12">
        <v>11667</v>
      </c>
      <c r="U294" s="12"/>
      <c r="V294" s="12"/>
      <c r="W294" s="12"/>
      <c r="X294" s="12"/>
      <c r="Y294" s="12"/>
      <c r="Z294" s="12"/>
      <c r="AA294" s="12"/>
      <c r="AB294" s="12"/>
      <c r="AC294" s="12"/>
      <c r="AD294" s="12"/>
      <c r="AE294" s="12"/>
      <c r="AF294" s="13">
        <f>H294+I294+J294+K294+M294-N294</f>
        <v>46218</v>
      </c>
      <c r="AG294" s="13">
        <f>SUM(O294:AE294)</f>
        <v>11667</v>
      </c>
      <c r="AH294" s="13">
        <f>AF294-AG294</f>
        <v>34551</v>
      </c>
      <c r="AI294" s="12"/>
      <c r="AJ294" s="12"/>
      <c r="AK294" s="12"/>
    </row>
    <row r="295" spans="1:37">
      <c r="A295" s="10">
        <v>2</v>
      </c>
      <c r="B295" s="11">
        <v>1448</v>
      </c>
      <c r="C295" s="10" t="s">
        <v>323</v>
      </c>
      <c r="D295" s="11" t="s">
        <v>28</v>
      </c>
      <c r="E295" s="11"/>
      <c r="F295" s="10" t="s">
        <v>322</v>
      </c>
      <c r="G295" s="11" t="s">
        <v>26</v>
      </c>
      <c r="H295" s="9"/>
      <c r="I295" s="12"/>
      <c r="J295" s="12">
        <v>150</v>
      </c>
      <c r="K295" s="12"/>
      <c r="L295" s="12">
        <v>11517</v>
      </c>
      <c r="M295" s="11">
        <f>L295*4+AI295-AJ295</f>
        <v>46068</v>
      </c>
      <c r="N295" s="13"/>
      <c r="O295" s="12"/>
      <c r="P295" s="12"/>
      <c r="Q295" s="12"/>
      <c r="R295" s="12"/>
      <c r="S295" s="12"/>
      <c r="T295" s="12">
        <v>11667</v>
      </c>
      <c r="U295" s="12"/>
      <c r="V295" s="12"/>
      <c r="W295" s="12"/>
      <c r="X295" s="12"/>
      <c r="Y295" s="12"/>
      <c r="Z295" s="12"/>
      <c r="AA295" s="12"/>
      <c r="AB295" s="12"/>
      <c r="AC295" s="12"/>
      <c r="AD295" s="12"/>
      <c r="AE295" s="12"/>
      <c r="AF295" s="13">
        <f>H295+I295+J295+K295+M295-N295</f>
        <v>46218</v>
      </c>
      <c r="AG295" s="13">
        <f>SUM(O295:AE295)</f>
        <v>11667</v>
      </c>
      <c r="AH295" s="13">
        <f>AF295-AG295</f>
        <v>34551</v>
      </c>
      <c r="AI295" s="12"/>
      <c r="AJ295" s="12"/>
      <c r="AK295" s="12"/>
    </row>
    <row r="296" spans="1:37">
      <c r="A296" s="10">
        <v>3</v>
      </c>
      <c r="B296" s="15">
        <v>1647</v>
      </c>
      <c r="C296" s="14" t="s">
        <v>324</v>
      </c>
      <c r="D296" s="15" t="s">
        <v>28</v>
      </c>
      <c r="E296" s="15"/>
      <c r="F296" s="14" t="s">
        <v>322</v>
      </c>
      <c r="G296" s="15" t="s">
        <v>26</v>
      </c>
      <c r="H296" s="9"/>
      <c r="I296" s="12"/>
      <c r="J296" s="12">
        <v>150</v>
      </c>
      <c r="K296" s="12"/>
      <c r="L296" s="12">
        <v>0</v>
      </c>
      <c r="M296" s="11">
        <f>L296*4+AI296-AJ296</f>
        <v>0</v>
      </c>
      <c r="N296" s="13"/>
      <c r="O296" s="12"/>
      <c r="P296" s="12"/>
      <c r="Q296" s="12"/>
      <c r="R296" s="12"/>
      <c r="S296" s="12"/>
      <c r="T296" s="12">
        <v>150</v>
      </c>
      <c r="U296" s="12"/>
      <c r="V296" s="12"/>
      <c r="W296" s="12"/>
      <c r="X296" s="12"/>
      <c r="Y296" s="12"/>
      <c r="Z296" s="12"/>
      <c r="AA296" s="12"/>
      <c r="AB296" s="12"/>
      <c r="AC296" s="12"/>
      <c r="AD296" s="12"/>
      <c r="AE296" s="12"/>
      <c r="AF296" s="13">
        <f>H296+I296+J296+K296+M296-N296</f>
        <v>150</v>
      </c>
      <c r="AG296" s="13">
        <f>SUM(O296:AE296)</f>
        <v>150</v>
      </c>
      <c r="AH296" s="13">
        <f>AF296-AG296</f>
        <v>0</v>
      </c>
      <c r="AI296" s="12"/>
      <c r="AJ296" s="12"/>
      <c r="AK296" s="12"/>
    </row>
    <row r="297" spans="1:37">
      <c r="A297" s="10">
        <v>4</v>
      </c>
      <c r="B297" s="10">
        <v>1755</v>
      </c>
      <c r="C297" s="10" t="s">
        <v>325</v>
      </c>
      <c r="D297" s="11" t="s">
        <v>28</v>
      </c>
      <c r="E297" s="11"/>
      <c r="F297" s="10" t="s">
        <v>322</v>
      </c>
      <c r="G297" s="11" t="s">
        <v>26</v>
      </c>
      <c r="H297" s="16"/>
      <c r="I297" s="12"/>
      <c r="J297" s="12">
        <v>150</v>
      </c>
      <c r="K297" s="12"/>
      <c r="L297" s="12">
        <v>11517</v>
      </c>
      <c r="M297" s="11">
        <f>L297*4+AI297-AJ297</f>
        <v>46068</v>
      </c>
      <c r="N297" s="13">
        <v>2303</v>
      </c>
      <c r="O297" s="12"/>
      <c r="P297" s="12"/>
      <c r="Q297" s="12"/>
      <c r="R297" s="12"/>
      <c r="S297" s="12">
        <v>43915</v>
      </c>
      <c r="T297" s="12"/>
      <c r="U297" s="12"/>
      <c r="V297" s="12"/>
      <c r="W297" s="12"/>
      <c r="X297" s="12"/>
      <c r="Y297" s="12"/>
      <c r="Z297" s="12"/>
      <c r="AA297" s="12"/>
      <c r="AB297" s="12"/>
      <c r="AC297" s="12"/>
      <c r="AD297" s="12"/>
      <c r="AE297" s="12"/>
      <c r="AF297" s="13">
        <f>H297+I297+J297+K297+M297-N297</f>
        <v>43915</v>
      </c>
      <c r="AG297" s="13">
        <f>SUM(O297:AE297)</f>
        <v>43915</v>
      </c>
      <c r="AH297" s="13">
        <f>AF297-AG297</f>
        <v>0</v>
      </c>
      <c r="AI297" s="12"/>
      <c r="AJ297" s="12"/>
      <c r="AK297" s="12"/>
    </row>
    <row r="298" spans="1:37">
      <c r="A298" s="10">
        <v>5</v>
      </c>
      <c r="B298" s="11">
        <v>1462</v>
      </c>
      <c r="C298" s="10" t="s">
        <v>326</v>
      </c>
      <c r="D298" s="11" t="s">
        <v>23</v>
      </c>
      <c r="E298" s="11"/>
      <c r="F298" s="10" t="s">
        <v>322</v>
      </c>
      <c r="G298" s="11" t="s">
        <v>26</v>
      </c>
      <c r="H298" s="12"/>
      <c r="I298" s="12"/>
      <c r="J298" s="12">
        <v>150</v>
      </c>
      <c r="K298" s="12"/>
      <c r="L298" s="12">
        <v>11517</v>
      </c>
      <c r="M298" s="11">
        <f>L298*4+AI298-AJ298</f>
        <v>46068</v>
      </c>
      <c r="N298" s="13"/>
      <c r="O298" s="12"/>
      <c r="P298" s="12"/>
      <c r="Q298" s="12"/>
      <c r="R298" s="12"/>
      <c r="S298" s="12"/>
      <c r="T298" s="12"/>
      <c r="U298" s="12"/>
      <c r="V298" s="12">
        <v>11667</v>
      </c>
      <c r="W298" s="12"/>
      <c r="X298" s="12"/>
      <c r="Y298" s="12"/>
      <c r="Z298" s="12"/>
      <c r="AA298" s="12"/>
      <c r="AB298" s="12"/>
      <c r="AC298" s="12"/>
      <c r="AD298" s="12"/>
      <c r="AE298" s="12"/>
      <c r="AF298" s="13">
        <f>H298+I298+J298+K298+M298-N298</f>
        <v>46218</v>
      </c>
      <c r="AG298" s="13">
        <f>SUM(O298:AE298)</f>
        <v>11667</v>
      </c>
      <c r="AH298" s="13">
        <f>AF298-AG298</f>
        <v>34551</v>
      </c>
      <c r="AI298" s="12"/>
      <c r="AJ298" s="12"/>
      <c r="AK298" s="12"/>
    </row>
    <row r="299" spans="1:37">
      <c r="A299" s="10">
        <v>6</v>
      </c>
      <c r="B299" s="15">
        <v>1773</v>
      </c>
      <c r="C299" s="14" t="s">
        <v>327</v>
      </c>
      <c r="D299" s="15" t="s">
        <v>28</v>
      </c>
      <c r="E299" s="15"/>
      <c r="F299" s="14" t="s">
        <v>322</v>
      </c>
      <c r="G299" s="15" t="s">
        <v>26</v>
      </c>
      <c r="H299" s="9"/>
      <c r="I299" s="12"/>
      <c r="J299" s="12">
        <v>150</v>
      </c>
      <c r="K299" s="12"/>
      <c r="L299" s="12">
        <v>0</v>
      </c>
      <c r="M299" s="11">
        <f>L299*4+AI299-AJ299</f>
        <v>0</v>
      </c>
      <c r="N299" s="13"/>
      <c r="O299" s="12"/>
      <c r="P299" s="12"/>
      <c r="Q299" s="12"/>
      <c r="R299" s="12"/>
      <c r="S299" s="12"/>
      <c r="T299" s="12">
        <v>150</v>
      </c>
      <c r="U299" s="12"/>
      <c r="V299" s="12"/>
      <c r="W299" s="12"/>
      <c r="X299" s="12"/>
      <c r="Y299" s="12"/>
      <c r="Z299" s="12"/>
      <c r="AA299" s="12"/>
      <c r="AB299" s="12"/>
      <c r="AC299" s="12"/>
      <c r="AD299" s="12"/>
      <c r="AE299" s="12"/>
      <c r="AF299" s="13">
        <f>H299+I299+J299+K299+M299-N299</f>
        <v>150</v>
      </c>
      <c r="AG299" s="13">
        <f>SUM(O299:AE299)</f>
        <v>150</v>
      </c>
      <c r="AH299" s="13">
        <f>AF299-AG299</f>
        <v>0</v>
      </c>
      <c r="AI299" s="12"/>
      <c r="AJ299" s="12"/>
      <c r="AK299" s="12"/>
    </row>
    <row r="300" spans="1:37">
      <c r="A300" s="10">
        <v>7</v>
      </c>
      <c r="B300" s="11">
        <v>1984</v>
      </c>
      <c r="C300" s="10" t="s">
        <v>328</v>
      </c>
      <c r="D300" s="11" t="s">
        <v>28</v>
      </c>
      <c r="E300" s="11"/>
      <c r="F300" s="10" t="s">
        <v>322</v>
      </c>
      <c r="G300" s="11" t="s">
        <v>26</v>
      </c>
      <c r="H300" s="9"/>
      <c r="I300" s="12"/>
      <c r="J300" s="12">
        <v>150</v>
      </c>
      <c r="K300" s="12"/>
      <c r="L300" s="12">
        <v>11517</v>
      </c>
      <c r="M300" s="11">
        <f>L300*4+AI300-AJ300</f>
        <v>46068</v>
      </c>
      <c r="N300" s="13"/>
      <c r="O300" s="12"/>
      <c r="P300" s="12"/>
      <c r="Q300" s="12"/>
      <c r="R300" s="12"/>
      <c r="S300" s="12">
        <v>11667</v>
      </c>
      <c r="T300" s="12"/>
      <c r="U300" s="12"/>
      <c r="V300" s="12">
        <v>11517</v>
      </c>
      <c r="W300" s="12"/>
      <c r="X300" s="12"/>
      <c r="Y300" s="12"/>
      <c r="Z300" s="12"/>
      <c r="AA300" s="12"/>
      <c r="AB300" s="12"/>
      <c r="AC300" s="12"/>
      <c r="AD300" s="12"/>
      <c r="AE300" s="12"/>
      <c r="AF300" s="13">
        <f>H300+I300+J300+K300+M300-N300</f>
        <v>46218</v>
      </c>
      <c r="AG300" s="13">
        <f>SUM(O300:AE300)</f>
        <v>23184</v>
      </c>
      <c r="AH300" s="13">
        <f>AF300-AG300</f>
        <v>23034</v>
      </c>
      <c r="AI300" s="12"/>
      <c r="AJ300" s="12"/>
      <c r="AK300" s="12"/>
    </row>
    <row r="301" spans="1:37">
      <c r="A301" s="10">
        <v>8</v>
      </c>
      <c r="B301" s="11">
        <v>1595</v>
      </c>
      <c r="C301" s="10" t="s">
        <v>329</v>
      </c>
      <c r="D301" s="11" t="s">
        <v>23</v>
      </c>
      <c r="E301" s="11"/>
      <c r="F301" s="10" t="s">
        <v>322</v>
      </c>
      <c r="G301" s="11" t="s">
        <v>26</v>
      </c>
      <c r="H301" s="9"/>
      <c r="I301" s="12"/>
      <c r="J301" s="12">
        <v>150</v>
      </c>
      <c r="K301" s="12"/>
      <c r="L301" s="12">
        <v>11517</v>
      </c>
      <c r="M301" s="11">
        <f>L301*4+AI301-AJ301</f>
        <v>46068</v>
      </c>
      <c r="N301" s="13"/>
      <c r="O301" s="12"/>
      <c r="P301" s="12"/>
      <c r="Q301" s="12"/>
      <c r="R301" s="12"/>
      <c r="S301" s="12">
        <v>11667</v>
      </c>
      <c r="T301" s="12"/>
      <c r="U301" s="12"/>
      <c r="V301" s="12"/>
      <c r="W301" s="12"/>
      <c r="X301" s="12"/>
      <c r="Y301" s="12"/>
      <c r="Z301" s="12"/>
      <c r="AA301" s="12"/>
      <c r="AB301" s="12"/>
      <c r="AC301" s="12"/>
      <c r="AD301" s="12"/>
      <c r="AE301" s="12"/>
      <c r="AF301" s="13">
        <f>H301+I301+J301+K301+M301-N301</f>
        <v>46218</v>
      </c>
      <c r="AG301" s="13">
        <f>SUM(O301:AE301)</f>
        <v>11667</v>
      </c>
      <c r="AH301" s="13">
        <f>AF301-AG301</f>
        <v>34551</v>
      </c>
      <c r="AI301" s="12"/>
      <c r="AJ301" s="12"/>
      <c r="AK301" s="12"/>
    </row>
    <row r="302" spans="1:37">
      <c r="A302" s="10">
        <v>9</v>
      </c>
      <c r="B302" s="11">
        <v>1415</v>
      </c>
      <c r="C302" s="10" t="s">
        <v>330</v>
      </c>
      <c r="D302" s="11" t="s">
        <v>28</v>
      </c>
      <c r="E302" s="11"/>
      <c r="F302" s="10" t="s">
        <v>322</v>
      </c>
      <c r="G302" s="11" t="s">
        <v>26</v>
      </c>
      <c r="H302" s="9"/>
      <c r="I302" s="12"/>
      <c r="J302" s="12">
        <v>150</v>
      </c>
      <c r="K302" s="12"/>
      <c r="L302" s="12">
        <v>11517</v>
      </c>
      <c r="M302" s="11">
        <f>L302*4+AI302-AJ302</f>
        <v>46068</v>
      </c>
      <c r="N302" s="13"/>
      <c r="O302" s="12"/>
      <c r="P302" s="12"/>
      <c r="Q302" s="12"/>
      <c r="R302" s="12"/>
      <c r="S302" s="12"/>
      <c r="T302" s="12"/>
      <c r="U302" s="12"/>
      <c r="V302" s="12">
        <v>11667</v>
      </c>
      <c r="W302" s="12"/>
      <c r="X302" s="12"/>
      <c r="Y302" s="12"/>
      <c r="Z302" s="12"/>
      <c r="AA302" s="12"/>
      <c r="AB302" s="12"/>
      <c r="AC302" s="12"/>
      <c r="AD302" s="12"/>
      <c r="AE302" s="12"/>
      <c r="AF302" s="13">
        <f>H302+I302+J302+K302+M302-N302</f>
        <v>46218</v>
      </c>
      <c r="AG302" s="13">
        <f>SUM(O302:AE302)</f>
        <v>11667</v>
      </c>
      <c r="AH302" s="13">
        <f>AF302-AG302</f>
        <v>34551</v>
      </c>
      <c r="AI302" s="12"/>
      <c r="AJ302" s="12"/>
      <c r="AK302" s="12"/>
    </row>
    <row r="303" spans="1:37">
      <c r="A303" s="10">
        <v>10</v>
      </c>
      <c r="B303" s="11">
        <v>1593</v>
      </c>
      <c r="C303" s="10" t="s">
        <v>331</v>
      </c>
      <c r="D303" s="11" t="s">
        <v>23</v>
      </c>
      <c r="E303" s="11"/>
      <c r="F303" s="10" t="s">
        <v>322</v>
      </c>
      <c r="G303" s="11" t="s">
        <v>26</v>
      </c>
      <c r="H303" s="9"/>
      <c r="I303" s="12"/>
      <c r="J303" s="12">
        <v>150</v>
      </c>
      <c r="K303" s="12"/>
      <c r="L303" s="12">
        <v>11517</v>
      </c>
      <c r="M303" s="11">
        <f>L303*4+AI303-AJ303</f>
        <v>46068</v>
      </c>
      <c r="N303" s="13">
        <v>2303</v>
      </c>
      <c r="O303" s="12"/>
      <c r="P303" s="12"/>
      <c r="Q303" s="12"/>
      <c r="R303" s="12"/>
      <c r="S303" s="12">
        <v>43915</v>
      </c>
      <c r="T303" s="12"/>
      <c r="U303" s="12"/>
      <c r="V303" s="12"/>
      <c r="W303" s="12"/>
      <c r="X303" s="12"/>
      <c r="Y303" s="12"/>
      <c r="Z303" s="12"/>
      <c r="AA303" s="12"/>
      <c r="AB303" s="12"/>
      <c r="AC303" s="12"/>
      <c r="AD303" s="12"/>
      <c r="AE303" s="12"/>
      <c r="AF303" s="13">
        <f>H303+I303+J303+K303+M303-N303</f>
        <v>43915</v>
      </c>
      <c r="AG303" s="13">
        <f>SUM(O303:AE303)</f>
        <v>43915</v>
      </c>
      <c r="AH303" s="13">
        <f>AF303-AG303</f>
        <v>0</v>
      </c>
      <c r="AI303" s="12"/>
      <c r="AJ303" s="12"/>
      <c r="AK303" s="12"/>
    </row>
    <row r="304" spans="1:37">
      <c r="A304" s="10">
        <v>11</v>
      </c>
      <c r="B304" s="27">
        <v>1602</v>
      </c>
      <c r="C304" s="26" t="s">
        <v>332</v>
      </c>
      <c r="D304" s="27" t="s">
        <v>28</v>
      </c>
      <c r="E304" s="27"/>
      <c r="F304" s="26" t="s">
        <v>322</v>
      </c>
      <c r="G304" s="27" t="s">
        <v>26</v>
      </c>
      <c r="H304" s="9"/>
      <c r="I304" s="12"/>
      <c r="J304" s="12">
        <v>150</v>
      </c>
      <c r="K304" s="12"/>
      <c r="L304" s="12">
        <v>5759</v>
      </c>
      <c r="M304" s="11">
        <f>L304*4+AI304-AJ304</f>
        <v>23036</v>
      </c>
      <c r="N304" s="13"/>
      <c r="O304" s="12"/>
      <c r="P304" s="12"/>
      <c r="Q304" s="12"/>
      <c r="R304" s="12"/>
      <c r="S304" s="12"/>
      <c r="T304" s="12">
        <v>5909</v>
      </c>
      <c r="U304" s="12"/>
      <c r="V304" s="12"/>
      <c r="W304" s="12"/>
      <c r="X304" s="12"/>
      <c r="Y304" s="12"/>
      <c r="Z304" s="12"/>
      <c r="AA304" s="12"/>
      <c r="AB304" s="12"/>
      <c r="AC304" s="12"/>
      <c r="AD304" s="12"/>
      <c r="AE304" s="12"/>
      <c r="AF304" s="13">
        <f>H304+I304+J304+K304+M304-N304</f>
        <v>23186</v>
      </c>
      <c r="AG304" s="13">
        <f>SUM(O304:AE304)</f>
        <v>5909</v>
      </c>
      <c r="AH304" s="13">
        <f>AF304-AG304</f>
        <v>17277</v>
      </c>
      <c r="AI304" s="12"/>
      <c r="AJ304" s="12"/>
      <c r="AK304" s="12"/>
    </row>
    <row r="305" spans="1:37">
      <c r="A305" s="10">
        <v>12</v>
      </c>
      <c r="B305" s="15">
        <v>1637</v>
      </c>
      <c r="C305" s="14" t="s">
        <v>333</v>
      </c>
      <c r="D305" s="15" t="s">
        <v>28</v>
      </c>
      <c r="E305" s="15"/>
      <c r="F305" s="14" t="s">
        <v>322</v>
      </c>
      <c r="G305" s="15" t="s">
        <v>26</v>
      </c>
      <c r="H305" s="9"/>
      <c r="I305" s="12"/>
      <c r="J305" s="12">
        <v>150</v>
      </c>
      <c r="K305" s="12"/>
      <c r="L305" s="12">
        <v>0</v>
      </c>
      <c r="M305" s="11">
        <f>L305*4+AI305-AJ305</f>
        <v>0</v>
      </c>
      <c r="N305" s="13"/>
      <c r="O305" s="12"/>
      <c r="P305" s="12"/>
      <c r="Q305" s="12"/>
      <c r="R305" s="12"/>
      <c r="S305" s="12"/>
      <c r="T305" s="12">
        <v>150</v>
      </c>
      <c r="U305" s="12"/>
      <c r="V305" s="12"/>
      <c r="W305" s="12"/>
      <c r="X305" s="12"/>
      <c r="Y305" s="12"/>
      <c r="Z305" s="12"/>
      <c r="AA305" s="12"/>
      <c r="AB305" s="12"/>
      <c r="AC305" s="12"/>
      <c r="AD305" s="12"/>
      <c r="AE305" s="12"/>
      <c r="AF305" s="13">
        <f>H305+I305+J305+K305+M305-N305</f>
        <v>150</v>
      </c>
      <c r="AG305" s="13">
        <f>SUM(O305:AE305)</f>
        <v>150</v>
      </c>
      <c r="AH305" s="13">
        <f>AF305-AG305</f>
        <v>0</v>
      </c>
      <c r="AI305" s="12"/>
      <c r="AJ305" s="12"/>
      <c r="AK305" s="12"/>
    </row>
    <row r="306" spans="1:37">
      <c r="A306" s="10">
        <v>13</v>
      </c>
      <c r="B306" s="11">
        <v>1399</v>
      </c>
      <c r="C306" s="10" t="s">
        <v>334</v>
      </c>
      <c r="D306" s="11" t="s">
        <v>23</v>
      </c>
      <c r="E306" s="11"/>
      <c r="F306" s="10" t="s">
        <v>322</v>
      </c>
      <c r="G306" s="11" t="s">
        <v>26</v>
      </c>
      <c r="H306" s="9"/>
      <c r="I306" s="12"/>
      <c r="J306" s="12">
        <v>150</v>
      </c>
      <c r="K306" s="12"/>
      <c r="L306" s="12">
        <v>11517</v>
      </c>
      <c r="M306" s="11">
        <f>L306*4+AI306-AJ306</f>
        <v>46068</v>
      </c>
      <c r="N306" s="13"/>
      <c r="O306" s="12"/>
      <c r="P306" s="12"/>
      <c r="Q306" s="12"/>
      <c r="R306" s="12"/>
      <c r="S306" s="12">
        <v>11667</v>
      </c>
      <c r="T306" s="12"/>
      <c r="U306" s="12"/>
      <c r="V306" s="12">
        <v>11517</v>
      </c>
      <c r="W306" s="12"/>
      <c r="X306" s="12"/>
      <c r="Y306" s="12"/>
      <c r="Z306" s="12"/>
      <c r="AA306" s="12"/>
      <c r="AB306" s="12"/>
      <c r="AC306" s="12"/>
      <c r="AD306" s="12"/>
      <c r="AE306" s="12"/>
      <c r="AF306" s="13">
        <f>H306+I306+J306+K306+M306-N306</f>
        <v>46218</v>
      </c>
      <c r="AG306" s="13">
        <f>SUM(O306:AE306)</f>
        <v>23184</v>
      </c>
      <c r="AH306" s="13">
        <f>AF306-AG306</f>
        <v>23034</v>
      </c>
      <c r="AI306" s="12"/>
      <c r="AJ306" s="12"/>
      <c r="AK306" s="12"/>
    </row>
    <row r="307" spans="1:37">
      <c r="A307" s="10">
        <v>14</v>
      </c>
      <c r="B307" s="11">
        <v>1601</v>
      </c>
      <c r="C307" s="10" t="s">
        <v>335</v>
      </c>
      <c r="D307" s="11" t="s">
        <v>28</v>
      </c>
      <c r="E307" s="11"/>
      <c r="F307" s="10" t="s">
        <v>322</v>
      </c>
      <c r="G307" s="11" t="s">
        <v>26</v>
      </c>
      <c r="H307" s="9"/>
      <c r="I307" s="12"/>
      <c r="J307" s="12">
        <v>150</v>
      </c>
      <c r="K307" s="12"/>
      <c r="L307" s="12">
        <v>11517</v>
      </c>
      <c r="M307" s="11">
        <f>L307*4+AI307-AJ307</f>
        <v>46068</v>
      </c>
      <c r="N307" s="13"/>
      <c r="O307" s="12"/>
      <c r="P307" s="12"/>
      <c r="Q307" s="12"/>
      <c r="R307" s="12"/>
      <c r="S307" s="12">
        <v>11667</v>
      </c>
      <c r="T307" s="12"/>
      <c r="U307" s="12"/>
      <c r="V307" s="12"/>
      <c r="W307" s="12"/>
      <c r="X307" s="12"/>
      <c r="Y307" s="12"/>
      <c r="Z307" s="12"/>
      <c r="AA307" s="12"/>
      <c r="AB307" s="12"/>
      <c r="AC307" s="12"/>
      <c r="AD307" s="12"/>
      <c r="AE307" s="12"/>
      <c r="AF307" s="13">
        <f>H307+I307+J307+K307+M307-N307</f>
        <v>46218</v>
      </c>
      <c r="AG307" s="13">
        <f>SUM(O307:AE307)</f>
        <v>11667</v>
      </c>
      <c r="AH307" s="13">
        <f>AF307-AG307</f>
        <v>34551</v>
      </c>
      <c r="AI307" s="12"/>
      <c r="AJ307" s="12"/>
      <c r="AK307" s="12"/>
    </row>
    <row r="308" spans="1:37">
      <c r="A308" s="10">
        <v>15</v>
      </c>
      <c r="B308" s="11">
        <v>1507</v>
      </c>
      <c r="C308" s="10" t="s">
        <v>336</v>
      </c>
      <c r="D308" s="11" t="s">
        <v>28</v>
      </c>
      <c r="E308" s="11"/>
      <c r="F308" s="10" t="s">
        <v>322</v>
      </c>
      <c r="G308" s="11" t="s">
        <v>26</v>
      </c>
      <c r="H308" s="9"/>
      <c r="I308" s="12"/>
      <c r="J308" s="12">
        <v>150</v>
      </c>
      <c r="K308" s="12"/>
      <c r="L308" s="12">
        <v>11517</v>
      </c>
      <c r="M308" s="11">
        <f>L308*4+AI308-AJ308</f>
        <v>46068</v>
      </c>
      <c r="N308" s="13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  <c r="AA308" s="12"/>
      <c r="AB308" s="12"/>
      <c r="AC308" s="12"/>
      <c r="AD308" s="12"/>
      <c r="AE308" s="12"/>
      <c r="AF308" s="13">
        <f>H308+I308+J308+K308+M308-N308</f>
        <v>46218</v>
      </c>
      <c r="AG308" s="13">
        <f>SUM(O308:AE308)</f>
        <v>0</v>
      </c>
      <c r="AH308" s="13">
        <f>AF308-AG308</f>
        <v>46218</v>
      </c>
      <c r="AI308" s="12"/>
      <c r="AJ308" s="12"/>
      <c r="AK308" s="12"/>
    </row>
    <row r="309" spans="1:37">
      <c r="A309" s="10">
        <v>16</v>
      </c>
      <c r="B309" s="11">
        <v>1419</v>
      </c>
      <c r="C309" s="10" t="s">
        <v>337</v>
      </c>
      <c r="D309" s="11" t="s">
        <v>28</v>
      </c>
      <c r="E309" s="11"/>
      <c r="F309" s="10" t="s">
        <v>322</v>
      </c>
      <c r="G309" s="11" t="s">
        <v>26</v>
      </c>
      <c r="H309" s="9"/>
      <c r="I309" s="12"/>
      <c r="J309" s="12">
        <v>150</v>
      </c>
      <c r="K309" s="12"/>
      <c r="L309" s="12">
        <v>11517</v>
      </c>
      <c r="M309" s="11">
        <f>L309*4+AI309-AJ309</f>
        <v>46068</v>
      </c>
      <c r="N309" s="13"/>
      <c r="O309" s="12"/>
      <c r="P309" s="12"/>
      <c r="Q309" s="12"/>
      <c r="R309" s="12"/>
      <c r="S309" s="12">
        <v>11667</v>
      </c>
      <c r="T309" s="12"/>
      <c r="U309" s="12"/>
      <c r="V309" s="12"/>
      <c r="W309" s="12"/>
      <c r="X309" s="12"/>
      <c r="Y309" s="12"/>
      <c r="Z309" s="12"/>
      <c r="AA309" s="12"/>
      <c r="AB309" s="12"/>
      <c r="AC309" s="12"/>
      <c r="AD309" s="12"/>
      <c r="AE309" s="12"/>
      <c r="AF309" s="13">
        <f>H309+I309+J309+K309+M309-N309</f>
        <v>46218</v>
      </c>
      <c r="AG309" s="13">
        <f>SUM(O309:AE309)</f>
        <v>11667</v>
      </c>
      <c r="AH309" s="13">
        <f>AF309-AG309</f>
        <v>34551</v>
      </c>
      <c r="AI309" s="12"/>
      <c r="AJ309" s="12"/>
      <c r="AK309" s="12"/>
    </row>
    <row r="310" spans="1:37">
      <c r="A310" s="10">
        <v>17</v>
      </c>
      <c r="B310" s="11">
        <v>1556</v>
      </c>
      <c r="C310" s="10" t="s">
        <v>338</v>
      </c>
      <c r="D310" s="11" t="s">
        <v>23</v>
      </c>
      <c r="E310" s="11"/>
      <c r="F310" s="10" t="s">
        <v>322</v>
      </c>
      <c r="G310" s="11" t="s">
        <v>26</v>
      </c>
      <c r="H310" s="9"/>
      <c r="I310" s="12"/>
      <c r="J310" s="12">
        <v>150</v>
      </c>
      <c r="K310" s="12"/>
      <c r="L310" s="12">
        <v>11517</v>
      </c>
      <c r="M310" s="11">
        <f>L310*4+AI310-AJ310</f>
        <v>45618</v>
      </c>
      <c r="N310" s="13"/>
      <c r="O310" s="12"/>
      <c r="P310" s="12"/>
      <c r="Q310" s="12"/>
      <c r="R310" s="12"/>
      <c r="S310" s="12">
        <v>11667</v>
      </c>
      <c r="T310" s="12"/>
      <c r="U310" s="12"/>
      <c r="V310" s="12">
        <v>11517</v>
      </c>
      <c r="W310" s="12"/>
      <c r="X310" s="12"/>
      <c r="Y310" s="12"/>
      <c r="Z310" s="12"/>
      <c r="AA310" s="12"/>
      <c r="AB310" s="12"/>
      <c r="AC310" s="12"/>
      <c r="AD310" s="12"/>
      <c r="AE310" s="12"/>
      <c r="AF310" s="13">
        <f>H310+I310+J310+K310+M310-N310</f>
        <v>45768</v>
      </c>
      <c r="AG310" s="13">
        <f>SUM(O310:AE310)</f>
        <v>23184</v>
      </c>
      <c r="AH310" s="13">
        <f>AF310-AG310</f>
        <v>22584</v>
      </c>
      <c r="AI310" s="12"/>
      <c r="AJ310" s="12">
        <v>450</v>
      </c>
      <c r="AK310" s="12"/>
    </row>
    <row r="311" spans="1:37">
      <c r="A311" s="10">
        <v>18</v>
      </c>
      <c r="B311" s="11">
        <v>1971</v>
      </c>
      <c r="C311" s="10" t="s">
        <v>339</v>
      </c>
      <c r="D311" s="11" t="s">
        <v>28</v>
      </c>
      <c r="E311" s="11"/>
      <c r="F311" s="10" t="s">
        <v>322</v>
      </c>
      <c r="G311" s="11" t="s">
        <v>26</v>
      </c>
      <c r="H311" s="9"/>
      <c r="I311" s="12"/>
      <c r="J311" s="12">
        <v>150</v>
      </c>
      <c r="K311" s="12"/>
      <c r="L311" s="12">
        <v>11517</v>
      </c>
      <c r="M311" s="11">
        <f>L311*4+AI311-AJ311</f>
        <v>46068</v>
      </c>
      <c r="N311" s="13">
        <v>2303</v>
      </c>
      <c r="O311" s="12"/>
      <c r="P311" s="12"/>
      <c r="Q311" s="12"/>
      <c r="R311" s="12"/>
      <c r="S311" s="12">
        <v>43915</v>
      </c>
      <c r="T311" s="12"/>
      <c r="U311" s="12"/>
      <c r="V311" s="12"/>
      <c r="W311" s="12"/>
      <c r="X311" s="12"/>
      <c r="Y311" s="12"/>
      <c r="Z311" s="12"/>
      <c r="AA311" s="12"/>
      <c r="AB311" s="12"/>
      <c r="AC311" s="12"/>
      <c r="AD311" s="12"/>
      <c r="AE311" s="12"/>
      <c r="AF311" s="13">
        <f>H311+I311+J311+K311+M311-N311</f>
        <v>43915</v>
      </c>
      <c r="AG311" s="13">
        <f>SUM(O311:AE311)</f>
        <v>43915</v>
      </c>
      <c r="AH311" s="13">
        <f>AF311-AG311</f>
        <v>0</v>
      </c>
      <c r="AI311" s="12"/>
      <c r="AJ311" s="12"/>
      <c r="AK311" s="12"/>
    </row>
    <row r="312" spans="1:37">
      <c r="A312" s="10">
        <v>19</v>
      </c>
      <c r="B312" s="11">
        <v>1426</v>
      </c>
      <c r="C312" s="10" t="s">
        <v>340</v>
      </c>
      <c r="D312" s="11" t="s">
        <v>28</v>
      </c>
      <c r="E312" s="11"/>
      <c r="F312" s="10" t="s">
        <v>322</v>
      </c>
      <c r="G312" s="11" t="s">
        <v>26</v>
      </c>
      <c r="H312" s="9"/>
      <c r="I312" s="12"/>
      <c r="J312" s="12">
        <v>150</v>
      </c>
      <c r="K312" s="12"/>
      <c r="L312" s="12">
        <v>11517</v>
      </c>
      <c r="M312" s="11">
        <f>L312*4+AI312-AJ312</f>
        <v>46068</v>
      </c>
      <c r="N312" s="13"/>
      <c r="O312" s="12"/>
      <c r="P312" s="12"/>
      <c r="Q312" s="12"/>
      <c r="R312" s="12"/>
      <c r="S312" s="12"/>
      <c r="T312" s="12">
        <v>11667</v>
      </c>
      <c r="U312" s="12"/>
      <c r="V312" s="12"/>
      <c r="W312" s="12"/>
      <c r="X312" s="12"/>
      <c r="Y312" s="12"/>
      <c r="Z312" s="12"/>
      <c r="AA312" s="12"/>
      <c r="AB312" s="12"/>
      <c r="AC312" s="12"/>
      <c r="AD312" s="12"/>
      <c r="AE312" s="12"/>
      <c r="AF312" s="13">
        <f>H312+I312+J312+K312+M312-N312</f>
        <v>46218</v>
      </c>
      <c r="AG312" s="13">
        <f>SUM(O312:AE312)</f>
        <v>11667</v>
      </c>
      <c r="AH312" s="13">
        <f>AF312-AG312</f>
        <v>34551</v>
      </c>
      <c r="AI312" s="12"/>
      <c r="AJ312" s="12"/>
      <c r="AK312" s="12"/>
    </row>
    <row r="313" spans="1:37">
      <c r="A313" s="10">
        <v>20</v>
      </c>
      <c r="B313" s="11">
        <v>1549</v>
      </c>
      <c r="C313" s="10" t="s">
        <v>341</v>
      </c>
      <c r="D313" s="11" t="s">
        <v>28</v>
      </c>
      <c r="E313" s="11"/>
      <c r="F313" s="10" t="s">
        <v>322</v>
      </c>
      <c r="G313" s="11" t="s">
        <v>26</v>
      </c>
      <c r="H313" s="9"/>
      <c r="I313" s="12"/>
      <c r="J313" s="12">
        <v>150</v>
      </c>
      <c r="K313" s="12"/>
      <c r="L313" s="12">
        <v>11517</v>
      </c>
      <c r="M313" s="11">
        <f>L313*4+AI313-AJ313</f>
        <v>46068</v>
      </c>
      <c r="N313" s="13"/>
      <c r="O313" s="12"/>
      <c r="P313" s="12"/>
      <c r="Q313" s="12"/>
      <c r="R313" s="12"/>
      <c r="S313" s="12"/>
      <c r="T313" s="12"/>
      <c r="U313" s="12">
        <v>11667</v>
      </c>
      <c r="V313" s="12"/>
      <c r="W313" s="12"/>
      <c r="X313" s="12"/>
      <c r="Y313" s="12"/>
      <c r="Z313" s="12"/>
      <c r="AA313" s="12"/>
      <c r="AB313" s="12"/>
      <c r="AC313" s="12"/>
      <c r="AD313" s="12"/>
      <c r="AE313" s="12"/>
      <c r="AF313" s="13">
        <f>H313+I313+J313+K313+M313-N313</f>
        <v>46218</v>
      </c>
      <c r="AG313" s="13">
        <f>SUM(O313:AE313)</f>
        <v>11667</v>
      </c>
      <c r="AH313" s="13">
        <f>AF313-AG313</f>
        <v>34551</v>
      </c>
      <c r="AI313" s="12"/>
      <c r="AJ313" s="12"/>
      <c r="AK313" s="12"/>
    </row>
    <row r="314" spans="1:37">
      <c r="A314" s="10">
        <v>21</v>
      </c>
      <c r="B314" s="11">
        <v>1433</v>
      </c>
      <c r="C314" s="10" t="s">
        <v>342</v>
      </c>
      <c r="D314" s="11" t="s">
        <v>28</v>
      </c>
      <c r="E314" s="11"/>
      <c r="F314" s="10" t="s">
        <v>322</v>
      </c>
      <c r="G314" s="11" t="s">
        <v>26</v>
      </c>
      <c r="H314" s="9"/>
      <c r="I314" s="12"/>
      <c r="J314" s="12">
        <v>150</v>
      </c>
      <c r="K314" s="12"/>
      <c r="L314" s="12">
        <v>11517</v>
      </c>
      <c r="M314" s="11">
        <f>L314*4+AI314-AJ314</f>
        <v>46068</v>
      </c>
      <c r="N314" s="13"/>
      <c r="O314" s="12"/>
      <c r="P314" s="12"/>
      <c r="Q314" s="12"/>
      <c r="R314" s="12"/>
      <c r="S314" s="12">
        <v>11667</v>
      </c>
      <c r="T314" s="12"/>
      <c r="U314" s="12"/>
      <c r="V314" s="12"/>
      <c r="W314" s="12"/>
      <c r="X314" s="12"/>
      <c r="Y314" s="12"/>
      <c r="Z314" s="12"/>
      <c r="AA314" s="12"/>
      <c r="AB314" s="12"/>
      <c r="AC314" s="12"/>
      <c r="AD314" s="12"/>
      <c r="AE314" s="12"/>
      <c r="AF314" s="13">
        <f>H314+I314+J314+K314+M314-N314</f>
        <v>46218</v>
      </c>
      <c r="AG314" s="13">
        <f>SUM(O314:AE314)</f>
        <v>11667</v>
      </c>
      <c r="AH314" s="13">
        <f>AF314-AG314</f>
        <v>34551</v>
      </c>
      <c r="AI314" s="12"/>
      <c r="AJ314" s="12"/>
      <c r="AK314" s="12"/>
    </row>
    <row r="315" spans="1:37">
      <c r="A315" s="10">
        <v>22</v>
      </c>
      <c r="B315" s="11">
        <v>1398</v>
      </c>
      <c r="C315" s="10" t="s">
        <v>343</v>
      </c>
      <c r="D315" s="11" t="s">
        <v>28</v>
      </c>
      <c r="E315" s="11"/>
      <c r="F315" s="10" t="s">
        <v>322</v>
      </c>
      <c r="G315" s="11" t="s">
        <v>26</v>
      </c>
      <c r="H315" s="9"/>
      <c r="I315" s="12"/>
      <c r="J315" s="12">
        <v>150</v>
      </c>
      <c r="K315" s="12"/>
      <c r="L315" s="12">
        <v>11517</v>
      </c>
      <c r="M315" s="11">
        <f>L315*4+AI315-AJ315</f>
        <v>46068</v>
      </c>
      <c r="N315" s="13"/>
      <c r="O315" s="12"/>
      <c r="P315" s="12"/>
      <c r="Q315" s="12"/>
      <c r="R315" s="12"/>
      <c r="S315" s="12"/>
      <c r="T315" s="12">
        <v>11667</v>
      </c>
      <c r="U315" s="12"/>
      <c r="V315" s="12"/>
      <c r="W315" s="12"/>
      <c r="X315" s="12"/>
      <c r="Y315" s="12"/>
      <c r="Z315" s="12"/>
      <c r="AA315" s="12"/>
      <c r="AB315" s="12"/>
      <c r="AC315" s="12"/>
      <c r="AD315" s="12"/>
      <c r="AE315" s="12"/>
      <c r="AF315" s="13">
        <f>H315+I315+J315+K315+M315-N315</f>
        <v>46218</v>
      </c>
      <c r="AG315" s="13">
        <f>SUM(O315:AE315)</f>
        <v>11667</v>
      </c>
      <c r="AH315" s="13">
        <f>AF315-AG315</f>
        <v>34551</v>
      </c>
      <c r="AI315" s="12"/>
      <c r="AJ315" s="12"/>
      <c r="AK315" s="12"/>
    </row>
    <row r="316" spans="1:37">
      <c r="A316" s="10">
        <v>23</v>
      </c>
      <c r="B316" s="11">
        <v>1422</v>
      </c>
      <c r="C316" s="10" t="s">
        <v>344</v>
      </c>
      <c r="D316" s="11" t="s">
        <v>23</v>
      </c>
      <c r="E316" s="11"/>
      <c r="F316" s="10" t="s">
        <v>322</v>
      </c>
      <c r="G316" s="11" t="s">
        <v>26</v>
      </c>
      <c r="H316" s="9"/>
      <c r="I316" s="12"/>
      <c r="J316" s="12">
        <v>150</v>
      </c>
      <c r="K316" s="12"/>
      <c r="L316" s="12">
        <v>11517</v>
      </c>
      <c r="M316" s="11">
        <f>L316*4+AI316-AJ316</f>
        <v>46068</v>
      </c>
      <c r="N316" s="13"/>
      <c r="O316" s="12"/>
      <c r="P316" s="12"/>
      <c r="Q316" s="12"/>
      <c r="R316" s="12"/>
      <c r="S316" s="12"/>
      <c r="T316" s="12">
        <v>11667</v>
      </c>
      <c r="U316" s="12"/>
      <c r="V316" s="12"/>
      <c r="W316" s="12"/>
      <c r="X316" s="12"/>
      <c r="Y316" s="12"/>
      <c r="Z316" s="12"/>
      <c r="AA316" s="12"/>
      <c r="AB316" s="12"/>
      <c r="AC316" s="12"/>
      <c r="AD316" s="12"/>
      <c r="AE316" s="12"/>
      <c r="AF316" s="13">
        <f>H316+I316+J316+K316+M316-N316</f>
        <v>46218</v>
      </c>
      <c r="AG316" s="13">
        <f>SUM(O316:AE316)</f>
        <v>11667</v>
      </c>
      <c r="AH316" s="13">
        <f>AF316-AG316</f>
        <v>34551</v>
      </c>
      <c r="AI316" s="12"/>
      <c r="AJ316" s="12"/>
      <c r="AK316" s="12"/>
    </row>
    <row r="317" spans="1:37">
      <c r="A317" s="10">
        <v>24</v>
      </c>
      <c r="B317" s="11">
        <v>1548</v>
      </c>
      <c r="C317" s="10" t="s">
        <v>345</v>
      </c>
      <c r="D317" s="11" t="s">
        <v>28</v>
      </c>
      <c r="E317" s="11"/>
      <c r="F317" s="10" t="s">
        <v>322</v>
      </c>
      <c r="G317" s="11" t="s">
        <v>26</v>
      </c>
      <c r="H317" s="9"/>
      <c r="I317" s="12"/>
      <c r="J317" s="12">
        <v>150</v>
      </c>
      <c r="K317" s="12"/>
      <c r="L317" s="12">
        <v>11517</v>
      </c>
      <c r="M317" s="11">
        <f>L317*4+AI317-AJ317</f>
        <v>46068</v>
      </c>
      <c r="N317" s="13"/>
      <c r="O317" s="12"/>
      <c r="P317" s="12"/>
      <c r="Q317" s="12"/>
      <c r="R317" s="12"/>
      <c r="S317" s="12"/>
      <c r="T317" s="12">
        <v>11667</v>
      </c>
      <c r="U317" s="12"/>
      <c r="V317" s="12"/>
      <c r="W317" s="12"/>
      <c r="X317" s="12"/>
      <c r="Y317" s="12"/>
      <c r="Z317" s="12"/>
      <c r="AA317" s="12"/>
      <c r="AB317" s="12"/>
      <c r="AC317" s="12"/>
      <c r="AD317" s="12"/>
      <c r="AE317" s="12"/>
      <c r="AF317" s="13">
        <f>H317+I317+J317+K317+M317-N317</f>
        <v>46218</v>
      </c>
      <c r="AG317" s="13">
        <f>SUM(O317:AE317)</f>
        <v>11667</v>
      </c>
      <c r="AH317" s="13">
        <f>AF317-AG317</f>
        <v>34551</v>
      </c>
      <c r="AI317" s="12"/>
      <c r="AJ317" s="12"/>
      <c r="AK317" s="12"/>
    </row>
    <row r="318" spans="1:37">
      <c r="A318" s="10">
        <v>25</v>
      </c>
      <c r="B318" s="10">
        <v>1752</v>
      </c>
      <c r="C318" s="10" t="s">
        <v>346</v>
      </c>
      <c r="D318" s="11" t="s">
        <v>28</v>
      </c>
      <c r="E318" s="11"/>
      <c r="F318" s="10" t="s">
        <v>322</v>
      </c>
      <c r="G318" s="11" t="s">
        <v>26</v>
      </c>
      <c r="H318" s="12"/>
      <c r="I318" s="12"/>
      <c r="J318" s="12">
        <v>150</v>
      </c>
      <c r="K318" s="12"/>
      <c r="L318" s="12">
        <v>11517</v>
      </c>
      <c r="M318" s="11">
        <f>L318*4+AI318-AJ318</f>
        <v>46068</v>
      </c>
      <c r="N318" s="13"/>
      <c r="O318" s="12"/>
      <c r="P318" s="12"/>
      <c r="Q318" s="12"/>
      <c r="R318" s="12"/>
      <c r="S318" s="12">
        <v>11667</v>
      </c>
      <c r="T318" s="12"/>
      <c r="U318" s="12"/>
      <c r="V318" s="12"/>
      <c r="W318" s="12"/>
      <c r="X318" s="12"/>
      <c r="Y318" s="12"/>
      <c r="Z318" s="12"/>
      <c r="AA318" s="12"/>
      <c r="AB318" s="12"/>
      <c r="AC318" s="12"/>
      <c r="AD318" s="12"/>
      <c r="AE318" s="12"/>
      <c r="AF318" s="13">
        <f>H318+I318+J318+K318+M318-N318</f>
        <v>46218</v>
      </c>
      <c r="AG318" s="13">
        <f>SUM(O318:AE318)</f>
        <v>11667</v>
      </c>
      <c r="AH318" s="13">
        <f>AF318-AG318</f>
        <v>34551</v>
      </c>
      <c r="AI318" s="12"/>
      <c r="AJ318" s="12"/>
      <c r="AK318" s="12"/>
    </row>
    <row r="319" spans="1:37">
      <c r="A319" s="10">
        <v>26</v>
      </c>
      <c r="B319" s="11">
        <v>1503</v>
      </c>
      <c r="C319" s="10" t="s">
        <v>347</v>
      </c>
      <c r="D319" s="11" t="s">
        <v>23</v>
      </c>
      <c r="E319" s="11"/>
      <c r="F319" s="10" t="s">
        <v>322</v>
      </c>
      <c r="G319" s="11" t="s">
        <v>26</v>
      </c>
      <c r="H319" s="9"/>
      <c r="I319" s="12"/>
      <c r="J319" s="12">
        <v>150</v>
      </c>
      <c r="K319" s="12"/>
      <c r="L319" s="12">
        <v>11517</v>
      </c>
      <c r="M319" s="11">
        <f>L319*4+AI319-AJ319</f>
        <v>46068</v>
      </c>
      <c r="N319" s="13"/>
      <c r="O319" s="12"/>
      <c r="P319" s="12"/>
      <c r="Q319" s="12"/>
      <c r="R319" s="12"/>
      <c r="S319" s="12"/>
      <c r="T319" s="12">
        <v>11667</v>
      </c>
      <c r="U319" s="12"/>
      <c r="V319" s="12"/>
      <c r="W319" s="12"/>
      <c r="X319" s="12"/>
      <c r="Y319" s="12"/>
      <c r="Z319" s="12"/>
      <c r="AA319" s="12"/>
      <c r="AB319" s="12"/>
      <c r="AC319" s="12"/>
      <c r="AD319" s="12"/>
      <c r="AE319" s="12"/>
      <c r="AF319" s="13">
        <f>H319+I319+J319+K319+M319-N319</f>
        <v>46218</v>
      </c>
      <c r="AG319" s="13">
        <f>SUM(O319:AE319)</f>
        <v>11667</v>
      </c>
      <c r="AH319" s="13">
        <f>AF319-AG319</f>
        <v>34551</v>
      </c>
      <c r="AI319" s="12"/>
      <c r="AJ319" s="12"/>
      <c r="AK319" s="12"/>
    </row>
    <row r="320" spans="1:37">
      <c r="A320" s="10">
        <v>27</v>
      </c>
      <c r="B320" s="11">
        <v>1449</v>
      </c>
      <c r="C320" s="10" t="s">
        <v>348</v>
      </c>
      <c r="D320" s="11" t="s">
        <v>28</v>
      </c>
      <c r="E320" s="11"/>
      <c r="F320" s="10" t="s">
        <v>322</v>
      </c>
      <c r="G320" s="11" t="s">
        <v>26</v>
      </c>
      <c r="H320" s="9"/>
      <c r="I320" s="12"/>
      <c r="J320" s="12">
        <v>150</v>
      </c>
      <c r="K320" s="12"/>
      <c r="L320" s="12">
        <v>11517</v>
      </c>
      <c r="M320" s="11">
        <f>L320*4+AI320-AJ320</f>
        <v>46068</v>
      </c>
      <c r="N320" s="13"/>
      <c r="O320" s="12"/>
      <c r="P320" s="12"/>
      <c r="Q320" s="12"/>
      <c r="R320" s="12"/>
      <c r="S320" s="12"/>
      <c r="T320" s="12">
        <v>11667</v>
      </c>
      <c r="U320" s="12"/>
      <c r="V320" s="12"/>
      <c r="W320" s="12"/>
      <c r="X320" s="12"/>
      <c r="Y320" s="12"/>
      <c r="Z320" s="12"/>
      <c r="AA320" s="12"/>
      <c r="AB320" s="12"/>
      <c r="AC320" s="12"/>
      <c r="AD320" s="12"/>
      <c r="AE320" s="12"/>
      <c r="AF320" s="13">
        <f>H320+I320+J320+K320+M320-N320</f>
        <v>46218</v>
      </c>
      <c r="AG320" s="13">
        <f>SUM(O320:AE320)</f>
        <v>11667</v>
      </c>
      <c r="AH320" s="13">
        <f>AF320-AG320</f>
        <v>34551</v>
      </c>
      <c r="AI320" s="12"/>
      <c r="AJ320" s="12"/>
      <c r="AK320" s="12"/>
    </row>
    <row r="321" spans="1:37">
      <c r="A321" s="10">
        <v>28</v>
      </c>
      <c r="B321" s="11">
        <v>1502</v>
      </c>
      <c r="C321" s="10" t="s">
        <v>349</v>
      </c>
      <c r="D321" s="11" t="s">
        <v>28</v>
      </c>
      <c r="E321" s="11"/>
      <c r="F321" s="10" t="s">
        <v>322</v>
      </c>
      <c r="G321" s="11" t="s">
        <v>26</v>
      </c>
      <c r="H321" s="9"/>
      <c r="I321" s="12"/>
      <c r="J321" s="12">
        <v>150</v>
      </c>
      <c r="K321" s="12"/>
      <c r="L321" s="12">
        <v>11517</v>
      </c>
      <c r="M321" s="11">
        <f>L321*4+AI321-AJ321</f>
        <v>46068</v>
      </c>
      <c r="N321" s="13"/>
      <c r="O321" s="12"/>
      <c r="P321" s="12"/>
      <c r="Q321" s="12"/>
      <c r="R321" s="12"/>
      <c r="S321" s="12"/>
      <c r="T321" s="12">
        <v>11667</v>
      </c>
      <c r="U321" s="12"/>
      <c r="V321" s="12"/>
      <c r="W321" s="12"/>
      <c r="X321" s="12"/>
      <c r="Y321" s="12"/>
      <c r="Z321" s="12"/>
      <c r="AA321" s="12"/>
      <c r="AB321" s="12"/>
      <c r="AC321" s="12"/>
      <c r="AD321" s="12"/>
      <c r="AE321" s="12"/>
      <c r="AF321" s="13">
        <f>H321+I321+J321+K321+M321-N321</f>
        <v>46218</v>
      </c>
      <c r="AG321" s="13">
        <f>SUM(O321:AE321)</f>
        <v>11667</v>
      </c>
      <c r="AH321" s="13">
        <f>AF321-AG321</f>
        <v>34551</v>
      </c>
      <c r="AI321" s="12"/>
      <c r="AJ321" s="12"/>
      <c r="AK321" s="12"/>
    </row>
    <row r="322" spans="1:37">
      <c r="A322" s="10">
        <v>29</v>
      </c>
      <c r="B322" s="11">
        <v>1504</v>
      </c>
      <c r="C322" s="10" t="s">
        <v>350</v>
      </c>
      <c r="D322" s="11" t="s">
        <v>23</v>
      </c>
      <c r="E322" s="11"/>
      <c r="F322" s="10" t="s">
        <v>322</v>
      </c>
      <c r="G322" s="11" t="s">
        <v>26</v>
      </c>
      <c r="H322" s="9"/>
      <c r="I322" s="12"/>
      <c r="J322" s="12">
        <v>150</v>
      </c>
      <c r="K322" s="12"/>
      <c r="L322" s="12">
        <v>11517</v>
      </c>
      <c r="M322" s="11">
        <f>L322*4+AI322-AJ322</f>
        <v>46068</v>
      </c>
      <c r="N322" s="13"/>
      <c r="O322" s="12"/>
      <c r="P322" s="12"/>
      <c r="Q322" s="12"/>
      <c r="R322" s="12"/>
      <c r="S322" s="12"/>
      <c r="T322" s="12">
        <v>11667</v>
      </c>
      <c r="U322" s="12"/>
      <c r="V322" s="12"/>
      <c r="W322" s="12"/>
      <c r="X322" s="12"/>
      <c r="Y322" s="12"/>
      <c r="Z322" s="12"/>
      <c r="AA322" s="12"/>
      <c r="AB322" s="12"/>
      <c r="AC322" s="12"/>
      <c r="AD322" s="12"/>
      <c r="AE322" s="12"/>
      <c r="AF322" s="13">
        <f>H322+I322+J322+K322+M322-N322</f>
        <v>46218</v>
      </c>
      <c r="AG322" s="13">
        <f>SUM(O322:AE322)</f>
        <v>11667</v>
      </c>
      <c r="AH322" s="13">
        <f>AF322-AG322</f>
        <v>34551</v>
      </c>
      <c r="AI322" s="12"/>
      <c r="AJ322" s="12"/>
      <c r="AK322" s="12"/>
    </row>
    <row r="323" spans="1:37">
      <c r="A323" s="10">
        <v>30</v>
      </c>
      <c r="B323" s="11">
        <v>1948</v>
      </c>
      <c r="C323" s="10" t="s">
        <v>351</v>
      </c>
      <c r="D323" s="11" t="s">
        <v>28</v>
      </c>
      <c r="E323" s="11"/>
      <c r="F323" s="10" t="s">
        <v>322</v>
      </c>
      <c r="G323" s="11" t="s">
        <v>26</v>
      </c>
      <c r="H323" s="9"/>
      <c r="I323" s="12"/>
      <c r="J323" s="12">
        <v>150</v>
      </c>
      <c r="K323" s="12"/>
      <c r="L323" s="12">
        <v>11517</v>
      </c>
      <c r="M323" s="11">
        <f>L323*4+AI323-AJ323</f>
        <v>46068</v>
      </c>
      <c r="N323" s="13"/>
      <c r="O323" s="12"/>
      <c r="P323" s="12"/>
      <c r="Q323" s="12"/>
      <c r="R323" s="12"/>
      <c r="S323" s="12"/>
      <c r="T323" s="12">
        <v>11667</v>
      </c>
      <c r="U323" s="12"/>
      <c r="V323" s="12"/>
      <c r="W323" s="12"/>
      <c r="X323" s="12"/>
      <c r="Y323" s="12"/>
      <c r="Z323" s="12"/>
      <c r="AA323" s="12"/>
      <c r="AB323" s="12"/>
      <c r="AC323" s="12"/>
      <c r="AD323" s="12"/>
      <c r="AE323" s="12"/>
      <c r="AF323" s="13">
        <f>H323+I323+J323+K323+M323-N323</f>
        <v>46218</v>
      </c>
      <c r="AG323" s="13">
        <f>SUM(O323:AE323)</f>
        <v>11667</v>
      </c>
      <c r="AH323" s="13">
        <f>AF323-AG323</f>
        <v>34551</v>
      </c>
      <c r="AI323" s="12"/>
      <c r="AJ323" s="12"/>
      <c r="AK323" s="12"/>
    </row>
    <row r="324" spans="1:37">
      <c r="A324" s="10">
        <v>31</v>
      </c>
      <c r="B324" s="11">
        <v>1581</v>
      </c>
      <c r="C324" s="10" t="s">
        <v>352</v>
      </c>
      <c r="D324" s="11" t="s">
        <v>23</v>
      </c>
      <c r="E324" s="11"/>
      <c r="F324" s="10" t="s">
        <v>322</v>
      </c>
      <c r="G324" s="11" t="s">
        <v>26</v>
      </c>
      <c r="H324" s="9"/>
      <c r="I324" s="12"/>
      <c r="J324" s="12">
        <v>150</v>
      </c>
      <c r="K324" s="12"/>
      <c r="L324" s="12">
        <v>11517</v>
      </c>
      <c r="M324" s="11">
        <f>L324*4+AI324-AJ324</f>
        <v>46068</v>
      </c>
      <c r="N324" s="13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  <c r="AA324" s="12"/>
      <c r="AB324" s="12"/>
      <c r="AC324" s="12"/>
      <c r="AD324" s="12"/>
      <c r="AE324" s="12"/>
      <c r="AF324" s="13">
        <f>H324+I324+J324+K324+M324-N324</f>
        <v>46218</v>
      </c>
      <c r="AG324" s="13">
        <f>SUM(O324:AE324)</f>
        <v>0</v>
      </c>
      <c r="AH324" s="13">
        <f>AF324-AG324</f>
        <v>46218</v>
      </c>
      <c r="AI324" s="12"/>
      <c r="AJ324" s="12"/>
      <c r="AK324" s="12"/>
    </row>
    <row r="325" spans="1:37">
      <c r="A325" s="10">
        <v>32</v>
      </c>
      <c r="B325" s="27">
        <v>1421</v>
      </c>
      <c r="C325" s="26" t="s">
        <v>353</v>
      </c>
      <c r="D325" s="27" t="s">
        <v>28</v>
      </c>
      <c r="E325" s="27"/>
      <c r="F325" s="26" t="s">
        <v>322</v>
      </c>
      <c r="G325" s="27" t="s">
        <v>26</v>
      </c>
      <c r="H325" s="9"/>
      <c r="I325" s="12"/>
      <c r="J325" s="12">
        <v>150</v>
      </c>
      <c r="K325" s="12"/>
      <c r="L325" s="12">
        <v>5759</v>
      </c>
      <c r="M325" s="11">
        <f>L325*4+AI325-AJ325</f>
        <v>23036</v>
      </c>
      <c r="N325" s="13"/>
      <c r="O325" s="12"/>
      <c r="P325" s="12"/>
      <c r="Q325" s="12"/>
      <c r="R325" s="12"/>
      <c r="S325" s="12"/>
      <c r="T325" s="12">
        <v>5909</v>
      </c>
      <c r="U325" s="12"/>
      <c r="V325" s="12"/>
      <c r="W325" s="12"/>
      <c r="X325" s="12"/>
      <c r="Y325" s="12"/>
      <c r="Z325" s="12"/>
      <c r="AA325" s="12"/>
      <c r="AB325" s="12"/>
      <c r="AC325" s="12"/>
      <c r="AD325" s="12"/>
      <c r="AE325" s="12"/>
      <c r="AF325" s="13">
        <f>H325+I325+J325+K325+M325-N325</f>
        <v>23186</v>
      </c>
      <c r="AG325" s="13">
        <f>SUM(O325:AE325)</f>
        <v>5909</v>
      </c>
      <c r="AH325" s="13">
        <f>AF325-AG325</f>
        <v>17277</v>
      </c>
      <c r="AI325" s="12"/>
      <c r="AJ325" s="12"/>
      <c r="AK325" s="12"/>
    </row>
    <row r="326" spans="1:37">
      <c r="A326" s="10">
        <v>33</v>
      </c>
      <c r="B326" s="16">
        <v>2103</v>
      </c>
      <c r="C326" s="16" t="s">
        <v>354</v>
      </c>
      <c r="D326" s="16" t="s">
        <v>28</v>
      </c>
      <c r="E326" s="16"/>
      <c r="F326" s="10" t="s">
        <v>322</v>
      </c>
      <c r="G326" s="12" t="s">
        <v>26</v>
      </c>
      <c r="H326" s="9"/>
      <c r="I326" s="12"/>
      <c r="J326" s="12">
        <v>150</v>
      </c>
      <c r="K326" s="12"/>
      <c r="L326" s="12">
        <v>11517</v>
      </c>
      <c r="M326" s="11">
        <f>L326*4+AI326-AJ326</f>
        <v>46068</v>
      </c>
      <c r="N326" s="13"/>
      <c r="O326" s="9"/>
      <c r="P326" s="12"/>
      <c r="Q326" s="12"/>
      <c r="R326" s="12"/>
      <c r="S326" s="12"/>
      <c r="T326" s="12">
        <v>11667</v>
      </c>
      <c r="U326" s="12"/>
      <c r="V326" s="12"/>
      <c r="W326" s="12"/>
      <c r="X326" s="12"/>
      <c r="Y326" s="12"/>
      <c r="Z326" s="12"/>
      <c r="AA326" s="12"/>
      <c r="AB326" s="12"/>
      <c r="AC326" s="12"/>
      <c r="AD326" s="12"/>
      <c r="AE326" s="12"/>
      <c r="AF326" s="13">
        <f>H326+I326+J326+K326+M326-N326</f>
        <v>46218</v>
      </c>
      <c r="AG326" s="13">
        <f>SUM(O326:AE326)</f>
        <v>11667</v>
      </c>
      <c r="AH326" s="13">
        <f>AF326-AG326</f>
        <v>34551</v>
      </c>
      <c r="AI326" s="12"/>
      <c r="AJ326" s="12"/>
      <c r="AK326" s="12"/>
    </row>
    <row r="327" spans="1:37">
      <c r="A327" s="10">
        <v>34</v>
      </c>
      <c r="B327" s="11">
        <v>1477</v>
      </c>
      <c r="C327" s="10" t="s">
        <v>355</v>
      </c>
      <c r="D327" s="11" t="s">
        <v>28</v>
      </c>
      <c r="E327" s="11"/>
      <c r="F327" s="10" t="s">
        <v>322</v>
      </c>
      <c r="G327" s="11" t="s">
        <v>26</v>
      </c>
      <c r="H327" s="9"/>
      <c r="I327" s="12"/>
      <c r="J327" s="12">
        <v>150</v>
      </c>
      <c r="K327" s="12"/>
      <c r="L327" s="12">
        <v>11517</v>
      </c>
      <c r="M327" s="11">
        <f>L327*4+AI327-AJ327</f>
        <v>46068</v>
      </c>
      <c r="N327" s="13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  <c r="AA327" s="12"/>
      <c r="AB327" s="12"/>
      <c r="AC327" s="12"/>
      <c r="AD327" s="12"/>
      <c r="AE327" s="12"/>
      <c r="AF327" s="13">
        <f>H327+I327+J327+K327+M327-N327</f>
        <v>46218</v>
      </c>
      <c r="AG327" s="13">
        <f>SUM(O327:AE327)</f>
        <v>0</v>
      </c>
      <c r="AH327" s="13">
        <f>AF327-AG327</f>
        <v>46218</v>
      </c>
      <c r="AI327" s="12"/>
      <c r="AJ327" s="12"/>
      <c r="AK327" s="12"/>
    </row>
    <row r="328" spans="1:37">
      <c r="A328" s="16">
        <v>1</v>
      </c>
      <c r="B328" s="12">
        <v>1569</v>
      </c>
      <c r="C328" s="16" t="s">
        <v>356</v>
      </c>
      <c r="D328" s="12" t="s">
        <v>28</v>
      </c>
      <c r="E328" s="12"/>
      <c r="F328" s="10" t="s">
        <v>322</v>
      </c>
      <c r="G328" s="12" t="s">
        <v>62</v>
      </c>
      <c r="H328" s="9"/>
      <c r="I328" s="12"/>
      <c r="J328" s="12">
        <v>150</v>
      </c>
      <c r="K328" s="12"/>
      <c r="L328" s="12">
        <v>11517</v>
      </c>
      <c r="M328" s="11">
        <f>L328*4+AI328-AJ328</f>
        <v>46068</v>
      </c>
      <c r="N328" s="13"/>
      <c r="O328" s="12"/>
      <c r="P328" s="12"/>
      <c r="Q328" s="12"/>
      <c r="R328" s="12"/>
      <c r="S328" s="12">
        <v>11667</v>
      </c>
      <c r="T328" s="12"/>
      <c r="U328" s="12"/>
      <c r="V328" s="12">
        <v>11517</v>
      </c>
      <c r="W328" s="12"/>
      <c r="X328" s="12"/>
      <c r="Y328" s="12"/>
      <c r="Z328" s="12"/>
      <c r="AA328" s="12"/>
      <c r="AB328" s="12"/>
      <c r="AC328" s="12"/>
      <c r="AD328" s="12"/>
      <c r="AE328" s="12"/>
      <c r="AF328" s="13">
        <f>H328+I328+J328+K328+M328-N328</f>
        <v>46218</v>
      </c>
      <c r="AG328" s="13">
        <f>SUM(O328:AE328)</f>
        <v>23184</v>
      </c>
      <c r="AH328" s="13">
        <f>AF328-AG328</f>
        <v>23034</v>
      </c>
      <c r="AI328" s="12"/>
      <c r="AJ328" s="12"/>
      <c r="AK328" s="12"/>
    </row>
    <row r="329" spans="1:37">
      <c r="A329" s="16">
        <v>2</v>
      </c>
      <c r="B329" s="16">
        <v>2074</v>
      </c>
      <c r="C329" s="16" t="s">
        <v>357</v>
      </c>
      <c r="D329" s="16" t="s">
        <v>23</v>
      </c>
      <c r="E329" s="16"/>
      <c r="F329" s="10" t="s">
        <v>322</v>
      </c>
      <c r="G329" s="12" t="s">
        <v>62</v>
      </c>
      <c r="H329" s="9"/>
      <c r="I329" s="12"/>
      <c r="J329" s="12">
        <v>150</v>
      </c>
      <c r="K329" s="12"/>
      <c r="L329" s="12">
        <v>11517</v>
      </c>
      <c r="M329" s="11">
        <f>L329*4+AI329-AJ329</f>
        <v>46068</v>
      </c>
      <c r="N329" s="13"/>
      <c r="O329" s="9"/>
      <c r="P329" s="12"/>
      <c r="Q329" s="12"/>
      <c r="R329" s="12"/>
      <c r="S329" s="12"/>
      <c r="T329" s="12">
        <v>11667</v>
      </c>
      <c r="U329" s="12"/>
      <c r="V329" s="12"/>
      <c r="W329" s="12"/>
      <c r="X329" s="12"/>
      <c r="Y329" s="12"/>
      <c r="Z329" s="12"/>
      <c r="AA329" s="12"/>
      <c r="AB329" s="12"/>
      <c r="AC329" s="12"/>
      <c r="AD329" s="12"/>
      <c r="AE329" s="12"/>
      <c r="AF329" s="13">
        <f>H329+I329+J329+K329+M329-N329</f>
        <v>46218</v>
      </c>
      <c r="AG329" s="13">
        <f>SUM(O329:AE329)</f>
        <v>11667</v>
      </c>
      <c r="AH329" s="13">
        <f>AF329-AG329</f>
        <v>34551</v>
      </c>
      <c r="AI329" s="12"/>
      <c r="AJ329" s="12"/>
      <c r="AK329" s="12"/>
    </row>
    <row r="330" spans="1:37">
      <c r="A330" s="16">
        <v>3</v>
      </c>
      <c r="B330" s="12">
        <v>1403</v>
      </c>
      <c r="C330" s="16" t="s">
        <v>358</v>
      </c>
      <c r="D330" s="12" t="s">
        <v>23</v>
      </c>
      <c r="E330" s="12"/>
      <c r="F330" s="10" t="s">
        <v>322</v>
      </c>
      <c r="G330" s="12" t="s">
        <v>62</v>
      </c>
      <c r="H330" s="12"/>
      <c r="I330" s="12"/>
      <c r="J330" s="12">
        <v>150</v>
      </c>
      <c r="K330" s="12"/>
      <c r="L330" s="12">
        <v>11517</v>
      </c>
      <c r="M330" s="11">
        <f>L330*4+AI330-AJ330</f>
        <v>46068</v>
      </c>
      <c r="N330" s="13"/>
      <c r="O330" s="12"/>
      <c r="P330" s="12"/>
      <c r="Q330" s="12"/>
      <c r="R330" s="12"/>
      <c r="S330" s="12">
        <v>11667</v>
      </c>
      <c r="T330" s="12"/>
      <c r="U330" s="12"/>
      <c r="V330" s="12"/>
      <c r="W330" s="12"/>
      <c r="X330" s="12"/>
      <c r="Y330" s="12"/>
      <c r="Z330" s="12"/>
      <c r="AA330" s="12"/>
      <c r="AB330" s="12"/>
      <c r="AC330" s="12"/>
      <c r="AD330" s="12"/>
      <c r="AE330" s="12"/>
      <c r="AF330" s="13">
        <f>H330+I330+J330+K330+M330-N330</f>
        <v>46218</v>
      </c>
      <c r="AG330" s="13">
        <f>SUM(O330:AE330)</f>
        <v>11667</v>
      </c>
      <c r="AH330" s="13">
        <f>AF330-AG330</f>
        <v>34551</v>
      </c>
      <c r="AI330" s="12"/>
      <c r="AJ330" s="12"/>
      <c r="AK330" s="12"/>
    </row>
    <row r="331" spans="1:37">
      <c r="A331" s="16">
        <v>4</v>
      </c>
      <c r="B331" s="16">
        <v>2068</v>
      </c>
      <c r="C331" s="16" t="s">
        <v>359</v>
      </c>
      <c r="D331" s="12" t="s">
        <v>23</v>
      </c>
      <c r="E331" s="12"/>
      <c r="F331" s="10" t="s">
        <v>322</v>
      </c>
      <c r="G331" s="12" t="s">
        <v>62</v>
      </c>
      <c r="H331" s="9"/>
      <c r="I331" s="12"/>
      <c r="J331" s="12">
        <v>150</v>
      </c>
      <c r="K331" s="12"/>
      <c r="L331" s="12">
        <v>11517</v>
      </c>
      <c r="M331" s="11">
        <f>L331*4+AI331-AJ331</f>
        <v>46068</v>
      </c>
      <c r="N331" s="13"/>
      <c r="O331" s="12"/>
      <c r="P331" s="12"/>
      <c r="Q331" s="12"/>
      <c r="R331" s="12"/>
      <c r="S331" s="12"/>
      <c r="T331" s="12">
        <v>11667</v>
      </c>
      <c r="U331" s="12"/>
      <c r="V331" s="12"/>
      <c r="W331" s="12"/>
      <c r="X331" s="12"/>
      <c r="Y331" s="12"/>
      <c r="Z331" s="12"/>
      <c r="AA331" s="12"/>
      <c r="AB331" s="12"/>
      <c r="AC331" s="12"/>
      <c r="AD331" s="12"/>
      <c r="AE331" s="12"/>
      <c r="AF331" s="13">
        <f>H331+I331+J331+K331+M331-N331</f>
        <v>46218</v>
      </c>
      <c r="AG331" s="13">
        <f>SUM(O331:AE331)</f>
        <v>11667</v>
      </c>
      <c r="AH331" s="13">
        <f>AF331-AG331</f>
        <v>34551</v>
      </c>
      <c r="AI331" s="12"/>
      <c r="AJ331" s="12"/>
      <c r="AK331" s="12"/>
    </row>
    <row r="332" spans="1:37">
      <c r="A332" s="16">
        <v>5</v>
      </c>
      <c r="B332" s="12">
        <v>1940</v>
      </c>
      <c r="C332" s="16" t="s">
        <v>360</v>
      </c>
      <c r="D332" s="12" t="s">
        <v>23</v>
      </c>
      <c r="E332" s="12"/>
      <c r="F332" s="10" t="s">
        <v>322</v>
      </c>
      <c r="G332" s="12" t="s">
        <v>62</v>
      </c>
      <c r="H332" s="12"/>
      <c r="I332" s="12"/>
      <c r="J332" s="12">
        <v>150</v>
      </c>
      <c r="K332" s="12"/>
      <c r="L332" s="12">
        <v>11517</v>
      </c>
      <c r="M332" s="11">
        <f>L332*4+AI332-AJ332</f>
        <v>46068</v>
      </c>
      <c r="N332" s="13"/>
      <c r="O332" s="12"/>
      <c r="P332" s="12"/>
      <c r="Q332" s="12"/>
      <c r="R332" s="12"/>
      <c r="S332" s="12"/>
      <c r="T332" s="12">
        <v>11667</v>
      </c>
      <c r="U332" s="12"/>
      <c r="V332" s="12"/>
      <c r="W332" s="12"/>
      <c r="X332" s="12"/>
      <c r="Y332" s="12"/>
      <c r="Z332" s="12"/>
      <c r="AA332" s="12"/>
      <c r="AB332" s="12"/>
      <c r="AC332" s="12"/>
      <c r="AD332" s="12"/>
      <c r="AE332" s="12"/>
      <c r="AF332" s="13">
        <f>H332+I332+J332+K332+M332-N332</f>
        <v>46218</v>
      </c>
      <c r="AG332" s="13">
        <f>SUM(O332:AE332)</f>
        <v>11667</v>
      </c>
      <c r="AH332" s="13">
        <f>AF332-AG332</f>
        <v>34551</v>
      </c>
      <c r="AI332" s="12"/>
      <c r="AJ332" s="12"/>
      <c r="AK332" s="12"/>
    </row>
    <row r="333" spans="1:37">
      <c r="A333" s="16">
        <v>6</v>
      </c>
      <c r="B333" s="12">
        <v>1447</v>
      </c>
      <c r="C333" s="16" t="s">
        <v>361</v>
      </c>
      <c r="D333" s="12" t="s">
        <v>28</v>
      </c>
      <c r="E333" s="12"/>
      <c r="F333" s="10" t="s">
        <v>322</v>
      </c>
      <c r="G333" s="12" t="s">
        <v>62</v>
      </c>
      <c r="H333" s="12"/>
      <c r="I333" s="12"/>
      <c r="J333" s="12">
        <v>150</v>
      </c>
      <c r="K333" s="12"/>
      <c r="L333" s="12">
        <v>11517</v>
      </c>
      <c r="M333" s="11">
        <f>L333*4+AI333-AJ333</f>
        <v>46068</v>
      </c>
      <c r="N333" s="13"/>
      <c r="O333" s="12"/>
      <c r="P333" s="12"/>
      <c r="Q333" s="12"/>
      <c r="R333" s="12"/>
      <c r="S333" s="12"/>
      <c r="T333" s="12">
        <v>11667</v>
      </c>
      <c r="U333" s="12"/>
      <c r="V333" s="12"/>
      <c r="W333" s="12"/>
      <c r="X333" s="12"/>
      <c r="Y333" s="12"/>
      <c r="Z333" s="12"/>
      <c r="AA333" s="12"/>
      <c r="AB333" s="12"/>
      <c r="AC333" s="12"/>
      <c r="AD333" s="12"/>
      <c r="AE333" s="12"/>
      <c r="AF333" s="13">
        <f>H333+I333+J333+K333+M333-N333</f>
        <v>46218</v>
      </c>
      <c r="AG333" s="13">
        <f>SUM(O333:AE333)</f>
        <v>11667</v>
      </c>
      <c r="AH333" s="13">
        <f>AF333-AG333</f>
        <v>34551</v>
      </c>
      <c r="AI333" s="12"/>
      <c r="AJ333" s="12"/>
      <c r="AK333" s="12"/>
    </row>
    <row r="334" spans="1:37">
      <c r="A334" s="16">
        <v>7</v>
      </c>
      <c r="B334" s="12">
        <v>1516</v>
      </c>
      <c r="C334" s="16" t="s">
        <v>362</v>
      </c>
      <c r="D334" s="12" t="s">
        <v>28</v>
      </c>
      <c r="E334" s="12"/>
      <c r="F334" s="10" t="s">
        <v>322</v>
      </c>
      <c r="G334" s="12" t="s">
        <v>62</v>
      </c>
      <c r="H334" s="12"/>
      <c r="I334" s="12"/>
      <c r="J334" s="12">
        <v>150</v>
      </c>
      <c r="K334" s="12"/>
      <c r="L334" s="12">
        <v>11517</v>
      </c>
      <c r="M334" s="11">
        <f>L334*4+AI334-AJ334</f>
        <v>46068</v>
      </c>
      <c r="N334" s="13"/>
      <c r="O334" s="12"/>
      <c r="P334" s="12"/>
      <c r="Q334" s="12"/>
      <c r="R334" s="12"/>
      <c r="S334" s="12">
        <v>11667</v>
      </c>
      <c r="T334" s="12"/>
      <c r="U334" s="12"/>
      <c r="V334" s="12">
        <v>11517</v>
      </c>
      <c r="W334" s="12"/>
      <c r="X334" s="12"/>
      <c r="Y334" s="12"/>
      <c r="Z334" s="12"/>
      <c r="AA334" s="12"/>
      <c r="AB334" s="12"/>
      <c r="AC334" s="12"/>
      <c r="AD334" s="12"/>
      <c r="AE334" s="12"/>
      <c r="AF334" s="13">
        <f>H334+I334+J334+K334+M334-N334</f>
        <v>46218</v>
      </c>
      <c r="AG334" s="13">
        <f>SUM(O334:AE334)</f>
        <v>23184</v>
      </c>
      <c r="AH334" s="13">
        <f>AF334-AG334</f>
        <v>23034</v>
      </c>
      <c r="AI334" s="12"/>
      <c r="AJ334" s="12"/>
      <c r="AK334" s="12"/>
    </row>
    <row r="335" spans="1:37">
      <c r="A335" s="16">
        <v>8</v>
      </c>
      <c r="B335" s="12">
        <v>1754</v>
      </c>
      <c r="C335" s="16" t="s">
        <v>363</v>
      </c>
      <c r="D335" s="12" t="s">
        <v>23</v>
      </c>
      <c r="E335" s="12"/>
      <c r="F335" s="10" t="s">
        <v>322</v>
      </c>
      <c r="G335" s="12" t="s">
        <v>62</v>
      </c>
      <c r="H335" s="12"/>
      <c r="I335" s="12"/>
      <c r="J335" s="12">
        <v>150</v>
      </c>
      <c r="K335" s="12"/>
      <c r="L335" s="12">
        <v>11517</v>
      </c>
      <c r="M335" s="11">
        <f>L335*4+AI335-AJ335</f>
        <v>46068</v>
      </c>
      <c r="N335" s="13"/>
      <c r="O335" s="12"/>
      <c r="P335" s="12"/>
      <c r="Q335" s="12"/>
      <c r="R335" s="12"/>
      <c r="S335" s="12"/>
      <c r="T335" s="12"/>
      <c r="U335" s="12">
        <v>11667</v>
      </c>
      <c r="V335" s="12"/>
      <c r="W335" s="12"/>
      <c r="X335" s="12"/>
      <c r="Y335" s="12"/>
      <c r="Z335" s="12"/>
      <c r="AA335" s="12"/>
      <c r="AB335" s="12"/>
      <c r="AC335" s="12"/>
      <c r="AD335" s="12"/>
      <c r="AE335" s="12"/>
      <c r="AF335" s="13">
        <f>H335+I335+J335+K335+M335-N335</f>
        <v>46218</v>
      </c>
      <c r="AG335" s="13">
        <f>SUM(O335:AE335)</f>
        <v>11667</v>
      </c>
      <c r="AH335" s="13">
        <f>AF335-AG335</f>
        <v>34551</v>
      </c>
      <c r="AI335" s="12"/>
      <c r="AJ335" s="12"/>
      <c r="AK335" s="12"/>
    </row>
    <row r="336" spans="1:37">
      <c r="A336" s="16">
        <v>9</v>
      </c>
      <c r="B336" s="12">
        <v>1408</v>
      </c>
      <c r="C336" s="16" t="s">
        <v>364</v>
      </c>
      <c r="D336" s="12" t="s">
        <v>28</v>
      </c>
      <c r="E336" s="12"/>
      <c r="F336" s="10" t="s">
        <v>322</v>
      </c>
      <c r="G336" s="12" t="s">
        <v>62</v>
      </c>
      <c r="H336" s="12"/>
      <c r="I336" s="12"/>
      <c r="J336" s="12">
        <v>150</v>
      </c>
      <c r="K336" s="12"/>
      <c r="L336" s="12">
        <v>11517</v>
      </c>
      <c r="M336" s="11">
        <f>L336*4+AI336-AJ336</f>
        <v>46068</v>
      </c>
      <c r="N336" s="13"/>
      <c r="O336" s="12"/>
      <c r="P336" s="12"/>
      <c r="Q336" s="12"/>
      <c r="R336" s="12"/>
      <c r="S336" s="12">
        <v>11667</v>
      </c>
      <c r="T336" s="12"/>
      <c r="U336" s="12"/>
      <c r="V336" s="12">
        <v>11517</v>
      </c>
      <c r="W336" s="12"/>
      <c r="X336" s="12"/>
      <c r="Y336" s="12"/>
      <c r="Z336" s="12"/>
      <c r="AA336" s="12"/>
      <c r="AB336" s="12"/>
      <c r="AC336" s="12"/>
      <c r="AD336" s="12"/>
      <c r="AE336" s="12"/>
      <c r="AF336" s="13">
        <f>H336+I336+J336+K336+M336-N336</f>
        <v>46218</v>
      </c>
      <c r="AG336" s="13">
        <f>SUM(O336:AE336)</f>
        <v>23184</v>
      </c>
      <c r="AH336" s="13">
        <f>AF336-AG336</f>
        <v>23034</v>
      </c>
      <c r="AI336" s="12"/>
      <c r="AJ336" s="12"/>
      <c r="AK336" s="12"/>
    </row>
    <row r="337" spans="1:37">
      <c r="A337" s="16">
        <v>10</v>
      </c>
      <c r="B337" s="16">
        <v>1767</v>
      </c>
      <c r="C337" s="16" t="s">
        <v>365</v>
      </c>
      <c r="D337" s="12" t="s">
        <v>23</v>
      </c>
      <c r="E337" s="12"/>
      <c r="F337" s="10" t="s">
        <v>322</v>
      </c>
      <c r="G337" s="12" t="s">
        <v>62</v>
      </c>
      <c r="H337" s="12"/>
      <c r="I337" s="12"/>
      <c r="J337" s="12">
        <v>150</v>
      </c>
      <c r="K337" s="12"/>
      <c r="L337" s="12">
        <v>11517</v>
      </c>
      <c r="M337" s="11">
        <f>L337*4+AI337-AJ337</f>
        <v>46068</v>
      </c>
      <c r="N337" s="13"/>
      <c r="O337" s="12"/>
      <c r="P337" s="12"/>
      <c r="Q337" s="12"/>
      <c r="R337" s="12"/>
      <c r="S337" s="12">
        <v>11667</v>
      </c>
      <c r="T337" s="12"/>
      <c r="U337" s="12"/>
      <c r="V337" s="12">
        <v>11517</v>
      </c>
      <c r="W337" s="12"/>
      <c r="X337" s="12"/>
      <c r="Y337" s="12"/>
      <c r="Z337" s="12"/>
      <c r="AA337" s="12"/>
      <c r="AB337" s="12"/>
      <c r="AC337" s="12"/>
      <c r="AD337" s="12"/>
      <c r="AE337" s="12"/>
      <c r="AF337" s="13">
        <f>H337+I337+J337+K337+M337-N337</f>
        <v>46218</v>
      </c>
      <c r="AG337" s="13">
        <f>SUM(O337:AE337)</f>
        <v>23184</v>
      </c>
      <c r="AH337" s="13">
        <f>AF337-AG337</f>
        <v>23034</v>
      </c>
      <c r="AI337" s="12"/>
      <c r="AJ337" s="12"/>
      <c r="AK337" s="12"/>
    </row>
    <row r="338" spans="1:37">
      <c r="A338" s="16">
        <v>11</v>
      </c>
      <c r="B338" s="12">
        <v>1944</v>
      </c>
      <c r="C338" s="16" t="s">
        <v>366</v>
      </c>
      <c r="D338" s="12" t="s">
        <v>23</v>
      </c>
      <c r="E338" s="12"/>
      <c r="F338" s="10" t="s">
        <v>322</v>
      </c>
      <c r="G338" s="12" t="s">
        <v>62</v>
      </c>
      <c r="H338" s="12"/>
      <c r="I338" s="12"/>
      <c r="J338" s="12">
        <v>150</v>
      </c>
      <c r="K338" s="12"/>
      <c r="L338" s="12">
        <v>11517</v>
      </c>
      <c r="M338" s="11">
        <f>L338*4+AI338-AJ338</f>
        <v>46068</v>
      </c>
      <c r="N338" s="13">
        <v>2303</v>
      </c>
      <c r="O338" s="12"/>
      <c r="P338" s="12"/>
      <c r="Q338" s="12"/>
      <c r="R338" s="12"/>
      <c r="S338" s="12"/>
      <c r="T338" s="12">
        <v>43915</v>
      </c>
      <c r="U338" s="12"/>
      <c r="V338" s="12"/>
      <c r="W338" s="12"/>
      <c r="X338" s="12"/>
      <c r="Y338" s="12"/>
      <c r="Z338" s="12"/>
      <c r="AA338" s="12"/>
      <c r="AB338" s="12"/>
      <c r="AC338" s="12"/>
      <c r="AD338" s="12"/>
      <c r="AE338" s="12"/>
      <c r="AF338" s="13">
        <f>H338+I338+J338+K338+M338-N338</f>
        <v>43915</v>
      </c>
      <c r="AG338" s="13">
        <f>SUM(O338:AE338)</f>
        <v>43915</v>
      </c>
      <c r="AH338" s="13">
        <f>AF338-AG338</f>
        <v>0</v>
      </c>
      <c r="AI338" s="12"/>
      <c r="AJ338" s="12"/>
      <c r="AK338" s="12"/>
    </row>
    <row r="339" spans="1:37">
      <c r="A339" s="16">
        <v>12</v>
      </c>
      <c r="B339" s="18">
        <v>2079</v>
      </c>
      <c r="C339" s="17" t="s">
        <v>367</v>
      </c>
      <c r="D339" s="18" t="s">
        <v>28</v>
      </c>
      <c r="E339" s="18"/>
      <c r="F339" s="14" t="s">
        <v>322</v>
      </c>
      <c r="G339" s="18" t="s">
        <v>62</v>
      </c>
      <c r="H339" s="9"/>
      <c r="I339" s="12"/>
      <c r="J339" s="12">
        <v>150</v>
      </c>
      <c r="K339" s="12"/>
      <c r="L339" s="12">
        <v>0</v>
      </c>
      <c r="M339" s="11">
        <f>L339*4+AI339-AJ339</f>
        <v>0</v>
      </c>
      <c r="N339" s="13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  <c r="AA339" s="12"/>
      <c r="AB339" s="12"/>
      <c r="AC339" s="12"/>
      <c r="AD339" s="12"/>
      <c r="AE339" s="12"/>
      <c r="AF339" s="13">
        <f>H339+I339+J339+K339+M339-N339</f>
        <v>150</v>
      </c>
      <c r="AG339" s="13">
        <f>SUM(O339:AE339)</f>
        <v>0</v>
      </c>
      <c r="AH339" s="13">
        <f>AF339-AG339</f>
        <v>150</v>
      </c>
      <c r="AI339" s="12"/>
      <c r="AJ339" s="12"/>
      <c r="AK339" s="12"/>
    </row>
    <row r="340" spans="1:37">
      <c r="A340" s="16">
        <v>13</v>
      </c>
      <c r="B340" s="16">
        <v>1811</v>
      </c>
      <c r="C340" s="16" t="s">
        <v>368</v>
      </c>
      <c r="D340" s="12" t="s">
        <v>23</v>
      </c>
      <c r="E340" s="29"/>
      <c r="F340" s="10" t="s">
        <v>322</v>
      </c>
      <c r="G340" s="16" t="s">
        <v>62</v>
      </c>
      <c r="H340" s="16"/>
      <c r="I340" s="12"/>
      <c r="J340" s="12">
        <v>150</v>
      </c>
      <c r="K340" s="12"/>
      <c r="L340" s="12">
        <v>11517</v>
      </c>
      <c r="M340" s="11">
        <f>L340*4+AI340-AJ340</f>
        <v>46068</v>
      </c>
      <c r="N340" s="13"/>
      <c r="O340" s="12"/>
      <c r="P340" s="12"/>
      <c r="Q340" s="12"/>
      <c r="R340" s="12"/>
      <c r="S340" s="12"/>
      <c r="T340" s="12">
        <v>11667</v>
      </c>
      <c r="U340" s="12"/>
      <c r="V340" s="12"/>
      <c r="W340" s="12"/>
      <c r="X340" s="12"/>
      <c r="Y340" s="12"/>
      <c r="Z340" s="12"/>
      <c r="AA340" s="12"/>
      <c r="AB340" s="12"/>
      <c r="AC340" s="12"/>
      <c r="AD340" s="12"/>
      <c r="AE340" s="12"/>
      <c r="AF340" s="13">
        <f>H340+I340+J340+K340+M340-N340</f>
        <v>46218</v>
      </c>
      <c r="AG340" s="13">
        <f>SUM(O340:AE340)</f>
        <v>11667</v>
      </c>
      <c r="AH340" s="13">
        <f>AF340-AG340</f>
        <v>34551</v>
      </c>
      <c r="AI340" s="12"/>
      <c r="AJ340" s="12"/>
      <c r="AK340" s="12"/>
    </row>
    <row r="341" spans="1:37">
      <c r="A341" s="16">
        <v>14</v>
      </c>
      <c r="B341" s="12">
        <v>1589</v>
      </c>
      <c r="C341" s="16" t="s">
        <v>369</v>
      </c>
      <c r="D341" s="12" t="s">
        <v>23</v>
      </c>
      <c r="E341" s="12"/>
      <c r="F341" s="10" t="s">
        <v>322</v>
      </c>
      <c r="G341" s="12" t="s">
        <v>62</v>
      </c>
      <c r="H341" s="9"/>
      <c r="I341" s="12"/>
      <c r="J341" s="12">
        <v>150</v>
      </c>
      <c r="K341" s="12"/>
      <c r="L341" s="12">
        <v>11517</v>
      </c>
      <c r="M341" s="11">
        <f>L341*4+AI341-AJ341</f>
        <v>46068</v>
      </c>
      <c r="N341" s="13"/>
      <c r="O341" s="12"/>
      <c r="P341" s="12"/>
      <c r="Q341" s="12"/>
      <c r="R341" s="12"/>
      <c r="S341" s="12">
        <v>11667</v>
      </c>
      <c r="T341" s="12"/>
      <c r="U341" s="12"/>
      <c r="V341" s="12"/>
      <c r="W341" s="12"/>
      <c r="X341" s="12"/>
      <c r="Y341" s="12"/>
      <c r="Z341" s="12"/>
      <c r="AA341" s="12"/>
      <c r="AB341" s="12"/>
      <c r="AC341" s="12"/>
      <c r="AD341" s="12"/>
      <c r="AE341" s="12"/>
      <c r="AF341" s="13">
        <f>H341+I341+J341+K341+M341-N341</f>
        <v>46218</v>
      </c>
      <c r="AG341" s="13">
        <f>SUM(O341:AE341)</f>
        <v>11667</v>
      </c>
      <c r="AH341" s="13">
        <f>AF341-AG341</f>
        <v>34551</v>
      </c>
      <c r="AI341" s="12"/>
      <c r="AJ341" s="12"/>
      <c r="AK341" s="12"/>
    </row>
    <row r="342" spans="1:37">
      <c r="A342" s="16">
        <v>15</v>
      </c>
      <c r="B342" s="12">
        <v>1397</v>
      </c>
      <c r="C342" s="16" t="s">
        <v>370</v>
      </c>
      <c r="D342" s="12" t="s">
        <v>28</v>
      </c>
      <c r="E342" s="12"/>
      <c r="F342" s="10" t="s">
        <v>322</v>
      </c>
      <c r="G342" s="12" t="s">
        <v>62</v>
      </c>
      <c r="H342" s="9"/>
      <c r="I342" s="12"/>
      <c r="J342" s="12">
        <v>150</v>
      </c>
      <c r="K342" s="12"/>
      <c r="L342" s="12">
        <v>11517</v>
      </c>
      <c r="M342" s="11">
        <f>L342*4+AI342-AJ342</f>
        <v>46068</v>
      </c>
      <c r="N342" s="13"/>
      <c r="O342" s="12"/>
      <c r="P342" s="12"/>
      <c r="Q342" s="12"/>
      <c r="R342" s="12"/>
      <c r="S342" s="12"/>
      <c r="T342" s="12">
        <v>11667</v>
      </c>
      <c r="U342" s="12"/>
      <c r="V342" s="12">
        <v>11517</v>
      </c>
      <c r="W342" s="12"/>
      <c r="X342" s="12"/>
      <c r="Y342" s="12"/>
      <c r="Z342" s="12"/>
      <c r="AA342" s="12"/>
      <c r="AB342" s="12"/>
      <c r="AC342" s="12"/>
      <c r="AD342" s="12"/>
      <c r="AE342" s="12"/>
      <c r="AF342" s="13">
        <f>H342+I342+J342+K342+M342-N342</f>
        <v>46218</v>
      </c>
      <c r="AG342" s="13">
        <f>SUM(O342:AE342)</f>
        <v>23184</v>
      </c>
      <c r="AH342" s="13">
        <f>AF342-AG342</f>
        <v>23034</v>
      </c>
      <c r="AI342" s="12"/>
      <c r="AJ342" s="12"/>
      <c r="AK342" s="12"/>
    </row>
    <row r="343" spans="1:37">
      <c r="A343" s="16">
        <v>16</v>
      </c>
      <c r="B343" s="16">
        <v>1746</v>
      </c>
      <c r="C343" s="16" t="s">
        <v>371</v>
      </c>
      <c r="D343" s="12" t="s">
        <v>28</v>
      </c>
      <c r="E343" s="12"/>
      <c r="F343" s="10" t="s">
        <v>322</v>
      </c>
      <c r="G343" s="12" t="s">
        <v>62</v>
      </c>
      <c r="H343" s="12"/>
      <c r="I343" s="12"/>
      <c r="J343" s="12">
        <v>150</v>
      </c>
      <c r="K343" s="12"/>
      <c r="L343" s="12">
        <v>11517</v>
      </c>
      <c r="M343" s="11">
        <f>L343*4+AI343-AJ343</f>
        <v>46068</v>
      </c>
      <c r="N343" s="13"/>
      <c r="O343" s="12"/>
      <c r="P343" s="12"/>
      <c r="Q343" s="12"/>
      <c r="R343" s="12"/>
      <c r="S343" s="12">
        <v>11517</v>
      </c>
      <c r="T343" s="12"/>
      <c r="U343" s="12"/>
      <c r="V343" s="12"/>
      <c r="W343" s="12"/>
      <c r="X343" s="12"/>
      <c r="Y343" s="12"/>
      <c r="Z343" s="12"/>
      <c r="AA343" s="12"/>
      <c r="AB343" s="12"/>
      <c r="AC343" s="12"/>
      <c r="AD343" s="12"/>
      <c r="AE343" s="12"/>
      <c r="AF343" s="13">
        <f>H343+I343+J343+K343+M343-N343</f>
        <v>46218</v>
      </c>
      <c r="AG343" s="13">
        <f>SUM(O343:AE343)</f>
        <v>11517</v>
      </c>
      <c r="AH343" s="13">
        <f>AF343-AG343</f>
        <v>34701</v>
      </c>
      <c r="AI343" s="12"/>
      <c r="AJ343" s="12"/>
      <c r="AK343" s="12"/>
    </row>
    <row r="344" spans="1:37">
      <c r="A344" s="16">
        <v>17</v>
      </c>
      <c r="B344" s="16">
        <v>1954</v>
      </c>
      <c r="C344" s="16" t="s">
        <v>372</v>
      </c>
      <c r="D344" s="12" t="s">
        <v>23</v>
      </c>
      <c r="E344" s="12"/>
      <c r="F344" s="10" t="s">
        <v>322</v>
      </c>
      <c r="G344" s="12" t="s">
        <v>62</v>
      </c>
      <c r="H344" s="12"/>
      <c r="I344" s="12"/>
      <c r="J344" s="12">
        <v>150</v>
      </c>
      <c r="K344" s="12"/>
      <c r="L344" s="12">
        <v>11517</v>
      </c>
      <c r="M344" s="11">
        <f>L344*4+AI344-AJ344</f>
        <v>46068</v>
      </c>
      <c r="N344" s="13"/>
      <c r="O344" s="12"/>
      <c r="P344" s="12"/>
      <c r="Q344" s="12"/>
      <c r="R344" s="12"/>
      <c r="S344" s="12"/>
      <c r="T344" s="12"/>
      <c r="U344" s="12"/>
      <c r="V344" s="12">
        <v>11667</v>
      </c>
      <c r="W344" s="12"/>
      <c r="X344" s="12"/>
      <c r="Y344" s="12"/>
      <c r="Z344" s="12"/>
      <c r="AA344" s="12"/>
      <c r="AB344" s="12"/>
      <c r="AC344" s="12"/>
      <c r="AD344" s="12"/>
      <c r="AE344" s="12"/>
      <c r="AF344" s="13">
        <f>H344+I344+J344+K344+M344-N344</f>
        <v>46218</v>
      </c>
      <c r="AG344" s="13">
        <f>SUM(O344:AE344)</f>
        <v>11667</v>
      </c>
      <c r="AH344" s="13">
        <f>AF344-AG344</f>
        <v>34551</v>
      </c>
      <c r="AI344" s="12"/>
      <c r="AJ344" s="12"/>
      <c r="AK344" s="12"/>
    </row>
    <row r="345" spans="1:37">
      <c r="A345" s="16">
        <v>18</v>
      </c>
      <c r="B345" s="16">
        <v>1911</v>
      </c>
      <c r="C345" s="16" t="s">
        <v>373</v>
      </c>
      <c r="D345" s="12" t="s">
        <v>28</v>
      </c>
      <c r="E345" s="12"/>
      <c r="F345" s="10" t="s">
        <v>322</v>
      </c>
      <c r="G345" s="12" t="s">
        <v>62</v>
      </c>
      <c r="H345" s="12"/>
      <c r="I345" s="12"/>
      <c r="J345" s="12">
        <v>150</v>
      </c>
      <c r="K345" s="12"/>
      <c r="L345" s="12">
        <v>11517</v>
      </c>
      <c r="M345" s="11">
        <f>L345*4+AI345-AJ345</f>
        <v>46068</v>
      </c>
      <c r="N345" s="13"/>
      <c r="O345" s="12"/>
      <c r="P345" s="12"/>
      <c r="Q345" s="12"/>
      <c r="R345" s="12"/>
      <c r="S345" s="12"/>
      <c r="T345" s="12">
        <v>11667</v>
      </c>
      <c r="U345" s="12"/>
      <c r="V345" s="12"/>
      <c r="W345" s="12"/>
      <c r="X345" s="12"/>
      <c r="Y345" s="12"/>
      <c r="Z345" s="12"/>
      <c r="AA345" s="12"/>
      <c r="AB345" s="12"/>
      <c r="AC345" s="12"/>
      <c r="AD345" s="12"/>
      <c r="AE345" s="12"/>
      <c r="AF345" s="13">
        <f>H345+I345+J345+K345+M345-N345</f>
        <v>46218</v>
      </c>
      <c r="AG345" s="13">
        <f>SUM(O345:AE345)</f>
        <v>11667</v>
      </c>
      <c r="AH345" s="13">
        <f>AF345-AG345</f>
        <v>34551</v>
      </c>
      <c r="AI345" s="12"/>
      <c r="AJ345" s="12"/>
      <c r="AK345" s="12"/>
    </row>
    <row r="346" spans="1:37">
      <c r="A346" s="16">
        <v>19</v>
      </c>
      <c r="B346" s="16">
        <v>1505</v>
      </c>
      <c r="C346" s="16" t="s">
        <v>374</v>
      </c>
      <c r="D346" s="12" t="s">
        <v>28</v>
      </c>
      <c r="E346" s="12"/>
      <c r="F346" s="10" t="s">
        <v>322</v>
      </c>
      <c r="G346" s="12" t="s">
        <v>62</v>
      </c>
      <c r="H346" s="12"/>
      <c r="I346" s="12"/>
      <c r="J346" s="12">
        <v>150</v>
      </c>
      <c r="K346" s="12"/>
      <c r="L346" s="12">
        <v>11517</v>
      </c>
      <c r="M346" s="11">
        <f>L346*4+AI346-AJ346</f>
        <v>46068</v>
      </c>
      <c r="N346" s="13"/>
      <c r="O346" s="12"/>
      <c r="P346" s="12"/>
      <c r="Q346" s="12"/>
      <c r="R346" s="12"/>
      <c r="S346" s="12"/>
      <c r="T346" s="12">
        <v>11667</v>
      </c>
      <c r="U346" s="12"/>
      <c r="V346" s="12"/>
      <c r="W346" s="12"/>
      <c r="X346" s="12"/>
      <c r="Y346" s="12"/>
      <c r="Z346" s="12"/>
      <c r="AA346" s="12"/>
      <c r="AB346" s="12"/>
      <c r="AC346" s="12"/>
      <c r="AD346" s="12"/>
      <c r="AE346" s="12"/>
      <c r="AF346" s="13">
        <f>H346+I346+J346+K346+M346-N346</f>
        <v>46218</v>
      </c>
      <c r="AG346" s="13">
        <f>SUM(O346:AE346)</f>
        <v>11667</v>
      </c>
      <c r="AH346" s="13">
        <f>AF346-AG346</f>
        <v>34551</v>
      </c>
      <c r="AI346" s="12"/>
      <c r="AJ346" s="12"/>
      <c r="AK346" s="12"/>
    </row>
    <row r="347" spans="1:37">
      <c r="A347" s="16">
        <v>20</v>
      </c>
      <c r="B347" s="19">
        <v>2251</v>
      </c>
      <c r="C347" s="19" t="s">
        <v>375</v>
      </c>
      <c r="D347" s="20" t="s">
        <v>28</v>
      </c>
      <c r="E347" s="20" t="s">
        <v>24</v>
      </c>
      <c r="F347" s="21" t="s">
        <v>322</v>
      </c>
      <c r="G347" s="20" t="s">
        <v>62</v>
      </c>
      <c r="H347" s="12">
        <v>5000</v>
      </c>
      <c r="I347" s="12">
        <v>1200</v>
      </c>
      <c r="J347" s="12">
        <v>150</v>
      </c>
      <c r="K347" s="12"/>
      <c r="L347" s="12">
        <v>11517</v>
      </c>
      <c r="M347" s="11">
        <f>L347*4+AI347-AJ347</f>
        <v>46068</v>
      </c>
      <c r="N347" s="13"/>
      <c r="O347" s="12">
        <v>5000</v>
      </c>
      <c r="P347" s="12">
        <v>1200</v>
      </c>
      <c r="Q347" s="12"/>
      <c r="R347" s="12"/>
      <c r="S347" s="11">
        <f>11517+150</f>
        <v>11667</v>
      </c>
      <c r="T347" s="12"/>
      <c r="U347" s="12"/>
      <c r="V347" s="12">
        <v>11517</v>
      </c>
      <c r="W347" s="12"/>
      <c r="X347" s="12"/>
      <c r="Y347" s="12"/>
      <c r="Z347" s="12"/>
      <c r="AA347" s="12"/>
      <c r="AB347" s="12"/>
      <c r="AC347" s="12"/>
      <c r="AD347" s="12"/>
      <c r="AE347" s="12"/>
      <c r="AF347" s="13">
        <f>H347+I347+J347+K347+M347-N347</f>
        <v>52418</v>
      </c>
      <c r="AG347" s="13">
        <f>SUM(O347:AE347)</f>
        <v>29384</v>
      </c>
      <c r="AH347" s="13">
        <f>AF347-AG347</f>
        <v>23034</v>
      </c>
      <c r="AI347" s="12"/>
      <c r="AJ347" s="12"/>
      <c r="AK347" s="12"/>
    </row>
    <row r="348" spans="1:37">
      <c r="A348" s="16">
        <v>21</v>
      </c>
      <c r="B348" s="16">
        <v>1983</v>
      </c>
      <c r="C348" s="16" t="s">
        <v>376</v>
      </c>
      <c r="D348" s="12" t="s">
        <v>23</v>
      </c>
      <c r="E348" s="12"/>
      <c r="F348" s="10" t="s">
        <v>322</v>
      </c>
      <c r="G348" s="12" t="s">
        <v>62</v>
      </c>
      <c r="H348" s="12"/>
      <c r="I348" s="12"/>
      <c r="J348" s="12">
        <v>150</v>
      </c>
      <c r="K348" s="12"/>
      <c r="L348" s="12">
        <v>11517</v>
      </c>
      <c r="M348" s="11">
        <f>L348*4+AI348-AJ348</f>
        <v>46068</v>
      </c>
      <c r="N348" s="13"/>
      <c r="O348" s="12"/>
      <c r="P348" s="12"/>
      <c r="Q348" s="12"/>
      <c r="R348" s="12"/>
      <c r="S348" s="12">
        <v>11517</v>
      </c>
      <c r="T348" s="12"/>
      <c r="U348" s="12"/>
      <c r="V348" s="12">
        <v>11517</v>
      </c>
      <c r="W348" s="12"/>
      <c r="X348" s="12"/>
      <c r="Y348" s="12"/>
      <c r="Z348" s="12"/>
      <c r="AA348" s="12"/>
      <c r="AB348" s="12"/>
      <c r="AC348" s="12"/>
      <c r="AD348" s="12"/>
      <c r="AE348" s="12"/>
      <c r="AF348" s="13">
        <f>H348+I348+J348+K348+M348-N348</f>
        <v>46218</v>
      </c>
      <c r="AG348" s="13">
        <f>SUM(O348:AE348)</f>
        <v>23034</v>
      </c>
      <c r="AH348" s="13">
        <f>AF348-AG348</f>
        <v>23184</v>
      </c>
      <c r="AI348" s="12"/>
      <c r="AJ348" s="12"/>
      <c r="AK348" s="12"/>
    </row>
    <row r="349" spans="1:37">
      <c r="A349" s="16">
        <v>22</v>
      </c>
      <c r="B349" s="12">
        <v>1402</v>
      </c>
      <c r="C349" s="16" t="s">
        <v>377</v>
      </c>
      <c r="D349" s="12" t="s">
        <v>28</v>
      </c>
      <c r="E349" s="12"/>
      <c r="F349" s="10" t="s">
        <v>322</v>
      </c>
      <c r="G349" s="12" t="s">
        <v>62</v>
      </c>
      <c r="H349" s="9"/>
      <c r="I349" s="12"/>
      <c r="J349" s="12">
        <v>150</v>
      </c>
      <c r="K349" s="12"/>
      <c r="L349" s="12">
        <v>11517</v>
      </c>
      <c r="M349" s="11">
        <f>L349*4+AI349-AJ349</f>
        <v>46068</v>
      </c>
      <c r="N349" s="13"/>
      <c r="O349" s="12"/>
      <c r="P349" s="12"/>
      <c r="Q349" s="12"/>
      <c r="R349" s="12"/>
      <c r="S349" s="12">
        <v>11667</v>
      </c>
      <c r="T349" s="12"/>
      <c r="U349" s="12"/>
      <c r="V349" s="12">
        <v>11517</v>
      </c>
      <c r="W349" s="12"/>
      <c r="X349" s="12"/>
      <c r="Y349" s="12"/>
      <c r="Z349" s="12"/>
      <c r="AA349" s="12"/>
      <c r="AB349" s="12"/>
      <c r="AC349" s="12"/>
      <c r="AD349" s="12"/>
      <c r="AE349" s="12"/>
      <c r="AF349" s="13">
        <f>H349+I349+J349+K349+M349-N349</f>
        <v>46218</v>
      </c>
      <c r="AG349" s="13">
        <f>SUM(O349:AE349)</f>
        <v>23184</v>
      </c>
      <c r="AH349" s="13">
        <f>AF349-AG349</f>
        <v>23034</v>
      </c>
      <c r="AI349" s="12"/>
      <c r="AJ349" s="12"/>
      <c r="AK349" s="12"/>
    </row>
    <row r="350" spans="1:37">
      <c r="A350" s="16">
        <v>23</v>
      </c>
      <c r="B350" s="12">
        <v>1417</v>
      </c>
      <c r="C350" s="16" t="s">
        <v>378</v>
      </c>
      <c r="D350" s="12" t="s">
        <v>23</v>
      </c>
      <c r="E350" s="12"/>
      <c r="F350" s="10" t="s">
        <v>322</v>
      </c>
      <c r="G350" s="12" t="s">
        <v>62</v>
      </c>
      <c r="H350" s="9"/>
      <c r="I350" s="12"/>
      <c r="J350" s="12">
        <v>150</v>
      </c>
      <c r="K350" s="12"/>
      <c r="L350" s="12">
        <v>11517</v>
      </c>
      <c r="M350" s="11">
        <f>L350*4+AI350-AJ350</f>
        <v>46068</v>
      </c>
      <c r="N350" s="13"/>
      <c r="O350" s="12"/>
      <c r="P350" s="12"/>
      <c r="Q350" s="12"/>
      <c r="R350" s="12"/>
      <c r="S350" s="12">
        <v>11667</v>
      </c>
      <c r="T350" s="12"/>
      <c r="U350" s="12"/>
      <c r="V350" s="12">
        <v>11517</v>
      </c>
      <c r="W350" s="12"/>
      <c r="X350" s="12"/>
      <c r="Y350" s="12"/>
      <c r="Z350" s="12"/>
      <c r="AA350" s="12"/>
      <c r="AB350" s="12"/>
      <c r="AC350" s="12"/>
      <c r="AD350" s="12"/>
      <c r="AE350" s="12"/>
      <c r="AF350" s="13">
        <f>H350+I350+J350+K350+M350-N350</f>
        <v>46218</v>
      </c>
      <c r="AG350" s="13">
        <f>SUM(O350:AE350)</f>
        <v>23184</v>
      </c>
      <c r="AH350" s="13">
        <f>AF350-AG350</f>
        <v>23034</v>
      </c>
      <c r="AI350" s="12"/>
      <c r="AJ350" s="12"/>
      <c r="AK350" s="12"/>
    </row>
    <row r="351" spans="1:37">
      <c r="A351" s="16">
        <v>24</v>
      </c>
      <c r="B351" s="12">
        <v>1424</v>
      </c>
      <c r="C351" s="16" t="s">
        <v>379</v>
      </c>
      <c r="D351" s="12" t="s">
        <v>28</v>
      </c>
      <c r="E351" s="12"/>
      <c r="F351" s="10" t="s">
        <v>322</v>
      </c>
      <c r="G351" s="12" t="s">
        <v>62</v>
      </c>
      <c r="H351" s="9"/>
      <c r="I351" s="12"/>
      <c r="J351" s="12">
        <v>150</v>
      </c>
      <c r="K351" s="12"/>
      <c r="L351" s="12">
        <v>11517</v>
      </c>
      <c r="M351" s="11">
        <f>L351*4+AI351-AJ351</f>
        <v>46068</v>
      </c>
      <c r="N351" s="13"/>
      <c r="O351" s="12"/>
      <c r="P351" s="12"/>
      <c r="Q351" s="12"/>
      <c r="R351" s="12"/>
      <c r="S351" s="12"/>
      <c r="T351" s="12">
        <v>11667</v>
      </c>
      <c r="U351" s="12"/>
      <c r="V351" s="12"/>
      <c r="W351" s="12"/>
      <c r="X351" s="12"/>
      <c r="Y351" s="12"/>
      <c r="Z351" s="12"/>
      <c r="AA351" s="12"/>
      <c r="AB351" s="12"/>
      <c r="AC351" s="12"/>
      <c r="AD351" s="12"/>
      <c r="AE351" s="12"/>
      <c r="AF351" s="13">
        <f>H351+I351+J351+K351+M351-N351</f>
        <v>46218</v>
      </c>
      <c r="AG351" s="13">
        <f>SUM(O351:AE351)</f>
        <v>11667</v>
      </c>
      <c r="AH351" s="13">
        <f>AF351-AG351</f>
        <v>34551</v>
      </c>
      <c r="AI351" s="12"/>
      <c r="AJ351" s="12"/>
      <c r="AK351" s="12"/>
    </row>
    <row r="352" spans="1:37">
      <c r="A352" s="16">
        <v>25</v>
      </c>
      <c r="B352" s="24">
        <v>1977</v>
      </c>
      <c r="C352" s="23" t="s">
        <v>380</v>
      </c>
      <c r="D352" s="24" t="s">
        <v>28</v>
      </c>
      <c r="E352" s="24"/>
      <c r="F352" s="26" t="s">
        <v>322</v>
      </c>
      <c r="G352" s="24" t="s">
        <v>62</v>
      </c>
      <c r="H352" s="9"/>
      <c r="I352" s="12"/>
      <c r="J352" s="12">
        <v>150</v>
      </c>
      <c r="K352" s="12"/>
      <c r="L352" s="12">
        <v>5759</v>
      </c>
      <c r="M352" s="11">
        <f>L352*4+AI352-AJ352</f>
        <v>23036</v>
      </c>
      <c r="N352" s="13"/>
      <c r="O352" s="12"/>
      <c r="P352" s="12"/>
      <c r="Q352" s="12"/>
      <c r="R352" s="12"/>
      <c r="S352" s="12"/>
      <c r="T352" s="12"/>
      <c r="U352" s="12">
        <v>5909</v>
      </c>
      <c r="V352" s="12"/>
      <c r="W352" s="12"/>
      <c r="X352" s="12"/>
      <c r="Y352" s="12"/>
      <c r="Z352" s="12"/>
      <c r="AA352" s="12"/>
      <c r="AB352" s="12"/>
      <c r="AC352" s="12"/>
      <c r="AD352" s="12"/>
      <c r="AE352" s="12"/>
      <c r="AF352" s="13">
        <f>H352+I352+J352+K352+M352-N352</f>
        <v>23186</v>
      </c>
      <c r="AG352" s="13">
        <f>SUM(O352:AE352)</f>
        <v>5909</v>
      </c>
      <c r="AH352" s="13">
        <f>AF352-AG352</f>
        <v>17277</v>
      </c>
      <c r="AI352" s="12"/>
      <c r="AJ352" s="12"/>
      <c r="AK352" s="12"/>
    </row>
    <row r="353" spans="1:37">
      <c r="A353" s="16">
        <v>26</v>
      </c>
      <c r="B353" s="12">
        <v>1756</v>
      </c>
      <c r="C353" s="16" t="s">
        <v>381</v>
      </c>
      <c r="D353" s="12" t="s">
        <v>28</v>
      </c>
      <c r="E353" s="12"/>
      <c r="F353" s="10" t="s">
        <v>322</v>
      </c>
      <c r="G353" s="12" t="s">
        <v>62</v>
      </c>
      <c r="H353" s="12"/>
      <c r="I353" s="12"/>
      <c r="J353" s="12">
        <v>150</v>
      </c>
      <c r="K353" s="12"/>
      <c r="L353" s="12">
        <v>11517</v>
      </c>
      <c r="M353" s="11">
        <f>L353*4+AI353-AJ353</f>
        <v>46068</v>
      </c>
      <c r="N353" s="13"/>
      <c r="O353" s="12"/>
      <c r="P353" s="12"/>
      <c r="Q353" s="12"/>
      <c r="R353" s="12"/>
      <c r="S353" s="12">
        <v>11667</v>
      </c>
      <c r="T353" s="12"/>
      <c r="U353" s="12"/>
      <c r="V353" s="12"/>
      <c r="W353" s="12"/>
      <c r="X353" s="12"/>
      <c r="Y353" s="12"/>
      <c r="Z353" s="12"/>
      <c r="AA353" s="12"/>
      <c r="AB353" s="12"/>
      <c r="AC353" s="12"/>
      <c r="AD353" s="12"/>
      <c r="AE353" s="12"/>
      <c r="AF353" s="13">
        <f>H353+I353+J353+K353+M353-N353</f>
        <v>46218</v>
      </c>
      <c r="AG353" s="13">
        <f>SUM(O353:AE353)</f>
        <v>11667</v>
      </c>
      <c r="AH353" s="13">
        <f>AF353-AG353</f>
        <v>34551</v>
      </c>
      <c r="AI353" s="12"/>
      <c r="AJ353" s="12"/>
      <c r="AK353" s="12"/>
    </row>
    <row r="354" spans="1:37">
      <c r="A354" s="16">
        <v>27</v>
      </c>
      <c r="B354" s="24">
        <v>1571</v>
      </c>
      <c r="C354" s="23" t="s">
        <v>382</v>
      </c>
      <c r="D354" s="24" t="s">
        <v>28</v>
      </c>
      <c r="E354" s="24"/>
      <c r="F354" s="26" t="s">
        <v>322</v>
      </c>
      <c r="G354" s="24" t="s">
        <v>62</v>
      </c>
      <c r="H354" s="12"/>
      <c r="I354" s="12"/>
      <c r="J354" s="12">
        <v>150</v>
      </c>
      <c r="K354" s="12"/>
      <c r="L354" s="12">
        <v>5759</v>
      </c>
      <c r="M354" s="11">
        <f>L354*4+AI354-AJ354</f>
        <v>23036</v>
      </c>
      <c r="N354" s="13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  <c r="AA354" s="12"/>
      <c r="AB354" s="12"/>
      <c r="AC354" s="12"/>
      <c r="AD354" s="12"/>
      <c r="AE354" s="12"/>
      <c r="AF354" s="13">
        <f>H354+I354+J354+K354+M354-N354</f>
        <v>23186</v>
      </c>
      <c r="AG354" s="13">
        <f>SUM(O354:AE354)</f>
        <v>0</v>
      </c>
      <c r="AH354" s="13">
        <f>AF354-AG354</f>
        <v>23186</v>
      </c>
      <c r="AI354" s="12"/>
      <c r="AJ354" s="12"/>
      <c r="AK354" s="12"/>
    </row>
    <row r="355" spans="1:37">
      <c r="A355" s="16">
        <v>28</v>
      </c>
      <c r="B355" s="12">
        <v>1604</v>
      </c>
      <c r="C355" s="16" t="s">
        <v>383</v>
      </c>
      <c r="D355" s="12" t="s">
        <v>23</v>
      </c>
      <c r="E355" s="12"/>
      <c r="F355" s="10" t="s">
        <v>322</v>
      </c>
      <c r="G355" s="12" t="s">
        <v>62</v>
      </c>
      <c r="H355" s="9"/>
      <c r="I355" s="12"/>
      <c r="J355" s="12">
        <v>150</v>
      </c>
      <c r="K355" s="12"/>
      <c r="L355" s="12">
        <v>11517</v>
      </c>
      <c r="M355" s="11">
        <f>L355*4+AI355-AJ355</f>
        <v>46068</v>
      </c>
      <c r="N355" s="13"/>
      <c r="O355" s="12"/>
      <c r="P355" s="12"/>
      <c r="Q355" s="12"/>
      <c r="R355" s="12"/>
      <c r="S355" s="12"/>
      <c r="T355" s="12">
        <v>11667</v>
      </c>
      <c r="U355" s="12"/>
      <c r="V355" s="12">
        <v>11517</v>
      </c>
      <c r="W355" s="12"/>
      <c r="X355" s="12"/>
      <c r="Y355" s="12"/>
      <c r="Z355" s="12"/>
      <c r="AA355" s="12"/>
      <c r="AB355" s="12"/>
      <c r="AC355" s="12"/>
      <c r="AD355" s="12"/>
      <c r="AE355" s="12"/>
      <c r="AF355" s="13">
        <f>H355+I355+J355+K355+M355-N355</f>
        <v>46218</v>
      </c>
      <c r="AG355" s="13">
        <f>SUM(O355:AE355)</f>
        <v>23184</v>
      </c>
      <c r="AH355" s="13">
        <f>AF355-AG355</f>
        <v>23034</v>
      </c>
      <c r="AI355" s="12"/>
      <c r="AJ355" s="12"/>
      <c r="AK355" s="12"/>
    </row>
    <row r="356" spans="1:37">
      <c r="A356" s="16">
        <v>29</v>
      </c>
      <c r="B356" s="12">
        <v>1450</v>
      </c>
      <c r="C356" s="16" t="s">
        <v>384</v>
      </c>
      <c r="D356" s="12" t="s">
        <v>28</v>
      </c>
      <c r="E356" s="12"/>
      <c r="F356" s="10" t="s">
        <v>322</v>
      </c>
      <c r="G356" s="12" t="s">
        <v>62</v>
      </c>
      <c r="H356" s="9"/>
      <c r="I356" s="12"/>
      <c r="J356" s="12">
        <v>150</v>
      </c>
      <c r="K356" s="12"/>
      <c r="L356" s="12">
        <v>11517</v>
      </c>
      <c r="M356" s="11">
        <f>L356*4+AI356-AJ356</f>
        <v>46068</v>
      </c>
      <c r="N356" s="13"/>
      <c r="O356" s="12"/>
      <c r="P356" s="12"/>
      <c r="Q356" s="12"/>
      <c r="R356" s="12"/>
      <c r="S356" s="12">
        <v>11667</v>
      </c>
      <c r="T356" s="12"/>
      <c r="U356" s="12"/>
      <c r="V356" s="12">
        <v>11667</v>
      </c>
      <c r="W356" s="12"/>
      <c r="X356" s="12"/>
      <c r="Y356" s="12"/>
      <c r="Z356" s="12"/>
      <c r="AA356" s="12"/>
      <c r="AB356" s="12"/>
      <c r="AC356" s="12"/>
      <c r="AD356" s="12"/>
      <c r="AE356" s="12"/>
      <c r="AF356" s="13">
        <f>H356+I356+J356+K356+M356-N356</f>
        <v>46218</v>
      </c>
      <c r="AG356" s="13">
        <f>SUM(O356:AE356)</f>
        <v>23334</v>
      </c>
      <c r="AH356" s="13">
        <f>AF356-AG356</f>
        <v>22884</v>
      </c>
      <c r="AI356" s="12"/>
      <c r="AJ356" s="12"/>
      <c r="AK356" s="12"/>
    </row>
    <row r="357" spans="1:37">
      <c r="A357" s="16">
        <v>30</v>
      </c>
      <c r="B357" s="12">
        <v>1452</v>
      </c>
      <c r="C357" s="16" t="s">
        <v>385</v>
      </c>
      <c r="D357" s="12" t="s">
        <v>28</v>
      </c>
      <c r="E357" s="12"/>
      <c r="F357" s="10" t="s">
        <v>322</v>
      </c>
      <c r="G357" s="12" t="s">
        <v>62</v>
      </c>
      <c r="H357" s="9"/>
      <c r="I357" s="12"/>
      <c r="J357" s="12">
        <v>150</v>
      </c>
      <c r="K357" s="12"/>
      <c r="L357" s="12">
        <v>11517</v>
      </c>
      <c r="M357" s="11">
        <f>L357*4+AI357-AJ357</f>
        <v>46068</v>
      </c>
      <c r="N357" s="13"/>
      <c r="O357" s="12"/>
      <c r="P357" s="12"/>
      <c r="Q357" s="12"/>
      <c r="R357" s="12"/>
      <c r="S357" s="12">
        <v>11667</v>
      </c>
      <c r="T357" s="12"/>
      <c r="U357" s="12"/>
      <c r="V357" s="12"/>
      <c r="W357" s="12"/>
      <c r="X357" s="12"/>
      <c r="Y357" s="12"/>
      <c r="Z357" s="12"/>
      <c r="AA357" s="12"/>
      <c r="AB357" s="12"/>
      <c r="AC357" s="12"/>
      <c r="AD357" s="12"/>
      <c r="AE357" s="12"/>
      <c r="AF357" s="13">
        <f>H357+I357+J357+K357+M357-N357</f>
        <v>46218</v>
      </c>
      <c r="AG357" s="13">
        <f>SUM(O357:AE357)</f>
        <v>11667</v>
      </c>
      <c r="AH357" s="13">
        <f>AF357-AG357</f>
        <v>34551</v>
      </c>
      <c r="AI357" s="12"/>
      <c r="AJ357" s="12"/>
      <c r="AK357" s="12"/>
    </row>
    <row r="358" spans="1:37">
      <c r="A358" s="16">
        <v>31</v>
      </c>
      <c r="B358" s="12">
        <v>1453</v>
      </c>
      <c r="C358" s="16" t="s">
        <v>386</v>
      </c>
      <c r="D358" s="12" t="s">
        <v>28</v>
      </c>
      <c r="E358" s="12"/>
      <c r="F358" s="10" t="s">
        <v>322</v>
      </c>
      <c r="G358" s="12" t="s">
        <v>62</v>
      </c>
      <c r="H358" s="9"/>
      <c r="I358" s="12"/>
      <c r="J358" s="12">
        <v>150</v>
      </c>
      <c r="K358" s="12"/>
      <c r="L358" s="12">
        <v>11517</v>
      </c>
      <c r="M358" s="11">
        <f>L358*4+AI358-AJ358</f>
        <v>46068</v>
      </c>
      <c r="N358" s="13"/>
      <c r="O358" s="12"/>
      <c r="P358" s="12"/>
      <c r="Q358" s="12"/>
      <c r="R358" s="12"/>
      <c r="S358" s="12">
        <v>11667</v>
      </c>
      <c r="T358" s="12"/>
      <c r="U358" s="12"/>
      <c r="V358" s="12"/>
      <c r="W358" s="12"/>
      <c r="X358" s="12"/>
      <c r="Y358" s="12"/>
      <c r="Z358" s="12"/>
      <c r="AA358" s="12"/>
      <c r="AB358" s="12"/>
      <c r="AC358" s="12"/>
      <c r="AD358" s="12"/>
      <c r="AE358" s="12"/>
      <c r="AF358" s="13">
        <f>H358+I358+J358+K358+M358-N358</f>
        <v>46218</v>
      </c>
      <c r="AG358" s="13">
        <f>SUM(O358:AE358)</f>
        <v>11667</v>
      </c>
      <c r="AH358" s="13">
        <f>AF358-AG358</f>
        <v>34551</v>
      </c>
      <c r="AI358" s="12"/>
      <c r="AJ358" s="12"/>
      <c r="AK358" s="12"/>
    </row>
    <row r="359" spans="1:37">
      <c r="A359" s="16">
        <v>32</v>
      </c>
      <c r="B359" s="12">
        <v>1474</v>
      </c>
      <c r="C359" s="16" t="s">
        <v>387</v>
      </c>
      <c r="D359" s="12" t="s">
        <v>28</v>
      </c>
      <c r="E359" s="12"/>
      <c r="F359" s="10" t="s">
        <v>322</v>
      </c>
      <c r="G359" s="12" t="s">
        <v>62</v>
      </c>
      <c r="H359" s="9"/>
      <c r="I359" s="12"/>
      <c r="J359" s="12">
        <v>150</v>
      </c>
      <c r="K359" s="12"/>
      <c r="L359" s="12">
        <v>11517</v>
      </c>
      <c r="M359" s="11">
        <f>L359*4+AI359-AJ359</f>
        <v>46068</v>
      </c>
      <c r="N359" s="13"/>
      <c r="O359" s="12"/>
      <c r="P359" s="12"/>
      <c r="Q359" s="12"/>
      <c r="R359" s="12"/>
      <c r="S359" s="12">
        <v>11667</v>
      </c>
      <c r="T359" s="12"/>
      <c r="U359" s="12"/>
      <c r="V359" s="12"/>
      <c r="W359" s="12"/>
      <c r="X359" s="12"/>
      <c r="Y359" s="12"/>
      <c r="Z359" s="12"/>
      <c r="AA359" s="12"/>
      <c r="AB359" s="12"/>
      <c r="AC359" s="12"/>
      <c r="AD359" s="12"/>
      <c r="AE359" s="12"/>
      <c r="AF359" s="13">
        <f>H359+I359+J359+K359+M359-N359</f>
        <v>46218</v>
      </c>
      <c r="AG359" s="13">
        <f>SUM(O359:AE359)</f>
        <v>11667</v>
      </c>
      <c r="AH359" s="13">
        <f>AF359-AG359</f>
        <v>34551</v>
      </c>
      <c r="AI359" s="12"/>
      <c r="AJ359" s="12"/>
      <c r="AK359" s="12"/>
    </row>
    <row r="360" spans="1:37">
      <c r="A360" s="16">
        <v>33</v>
      </c>
      <c r="B360" s="20">
        <v>2243</v>
      </c>
      <c r="C360" s="19" t="s">
        <v>388</v>
      </c>
      <c r="D360" s="20" t="s">
        <v>28</v>
      </c>
      <c r="E360" s="20" t="s">
        <v>24</v>
      </c>
      <c r="F360" s="21" t="s">
        <v>322</v>
      </c>
      <c r="G360" s="20" t="s">
        <v>62</v>
      </c>
      <c r="H360" s="9">
        <v>5000</v>
      </c>
      <c r="I360" s="12">
        <v>1200</v>
      </c>
      <c r="J360" s="12">
        <v>150</v>
      </c>
      <c r="K360" s="12"/>
      <c r="L360" s="12">
        <v>11517</v>
      </c>
      <c r="M360" s="11">
        <f>L360*4+AI360-AJ360</f>
        <v>46068</v>
      </c>
      <c r="N360" s="13"/>
      <c r="O360" s="12">
        <v>5000</v>
      </c>
      <c r="P360" s="12">
        <v>1200</v>
      </c>
      <c r="Q360" s="12"/>
      <c r="R360" s="12"/>
      <c r="S360" s="11">
        <f>11517+150</f>
        <v>11667</v>
      </c>
      <c r="T360" s="12"/>
      <c r="U360" s="12"/>
      <c r="V360" s="12"/>
      <c r="W360" s="12"/>
      <c r="X360" s="12"/>
      <c r="Y360" s="12"/>
      <c r="Z360" s="12"/>
      <c r="AA360" s="12"/>
      <c r="AB360" s="12"/>
      <c r="AC360" s="12"/>
      <c r="AD360" s="12"/>
      <c r="AE360" s="12"/>
      <c r="AF360" s="13">
        <f>H360+I360+J360+K360+M360-N360</f>
        <v>52418</v>
      </c>
      <c r="AG360" s="13">
        <f>SUM(O360:AE360)</f>
        <v>17867</v>
      </c>
      <c r="AH360" s="13">
        <f>AF360-AG360</f>
        <v>34551</v>
      </c>
      <c r="AI360" s="12"/>
      <c r="AJ360" s="12"/>
      <c r="AK360" s="12"/>
    </row>
    <row r="361" spans="1:37">
      <c r="A361" s="16">
        <v>34</v>
      </c>
      <c r="B361" s="12">
        <v>1596</v>
      </c>
      <c r="C361" s="16" t="s">
        <v>389</v>
      </c>
      <c r="D361" s="12" t="s">
        <v>28</v>
      </c>
      <c r="E361" s="12"/>
      <c r="F361" s="10" t="s">
        <v>322</v>
      </c>
      <c r="G361" s="12" t="s">
        <v>62</v>
      </c>
      <c r="H361" s="9"/>
      <c r="I361" s="12"/>
      <c r="J361" s="12">
        <v>150</v>
      </c>
      <c r="K361" s="12"/>
      <c r="L361" s="12">
        <v>11517</v>
      </c>
      <c r="M361" s="11">
        <f>L361*4+AI361-AJ361</f>
        <v>45618</v>
      </c>
      <c r="N361" s="13"/>
      <c r="O361" s="12"/>
      <c r="P361" s="12"/>
      <c r="Q361" s="12"/>
      <c r="R361" s="12"/>
      <c r="S361" s="12"/>
      <c r="T361" s="12">
        <v>11067</v>
      </c>
      <c r="U361" s="12"/>
      <c r="V361" s="12"/>
      <c r="W361" s="12"/>
      <c r="X361" s="12"/>
      <c r="Y361" s="12"/>
      <c r="Z361" s="12"/>
      <c r="AA361" s="12"/>
      <c r="AB361" s="12"/>
      <c r="AC361" s="12"/>
      <c r="AD361" s="12"/>
      <c r="AE361" s="12"/>
      <c r="AF361" s="13">
        <f>H361+I361+J361+K361+M361-N361</f>
        <v>45768</v>
      </c>
      <c r="AG361" s="13">
        <f>SUM(O361:AE361)</f>
        <v>11067</v>
      </c>
      <c r="AH361" s="13">
        <f>AF361-AG361</f>
        <v>34701</v>
      </c>
      <c r="AI361" s="12"/>
      <c r="AJ361" s="12">
        <v>450</v>
      </c>
      <c r="AK361" s="12"/>
    </row>
    <row r="362" spans="1:37">
      <c r="A362" s="10">
        <v>1</v>
      </c>
      <c r="B362" s="11">
        <v>1506</v>
      </c>
      <c r="C362" s="10" t="s">
        <v>390</v>
      </c>
      <c r="D362" s="11" t="s">
        <v>28</v>
      </c>
      <c r="E362" s="11"/>
      <c r="F362" s="10" t="s">
        <v>391</v>
      </c>
      <c r="G362" s="11" t="s">
        <v>26</v>
      </c>
      <c r="H362" s="12"/>
      <c r="I362" s="12"/>
      <c r="J362" s="12">
        <v>150</v>
      </c>
      <c r="K362" s="12">
        <v>1400</v>
      </c>
      <c r="L362" s="12">
        <v>11517</v>
      </c>
      <c r="M362" s="11">
        <f>L362*4+AI362-AJ362</f>
        <v>46068</v>
      </c>
      <c r="N362" s="13"/>
      <c r="O362" s="12"/>
      <c r="P362" s="12"/>
      <c r="Q362" s="12"/>
      <c r="R362" s="12"/>
      <c r="S362" s="12"/>
      <c r="T362" s="12">
        <v>11667</v>
      </c>
      <c r="U362" s="12"/>
      <c r="V362" s="12"/>
      <c r="W362" s="12"/>
      <c r="X362" s="12"/>
      <c r="Y362" s="12"/>
      <c r="Z362" s="12"/>
      <c r="AA362" s="12"/>
      <c r="AB362" s="12"/>
      <c r="AC362" s="12"/>
      <c r="AD362" s="12"/>
      <c r="AE362" s="12"/>
      <c r="AF362" s="13">
        <f>H362+I362+J362+K362+M362-N362</f>
        <v>47618</v>
      </c>
      <c r="AG362" s="13">
        <f>SUM(O362:AE362)</f>
        <v>11667</v>
      </c>
      <c r="AH362" s="13">
        <f>AF362-AG362</f>
        <v>35951</v>
      </c>
      <c r="AI362" s="12"/>
      <c r="AJ362" s="12"/>
      <c r="AK362" s="12"/>
    </row>
    <row r="363" spans="1:37">
      <c r="A363" s="10">
        <v>2</v>
      </c>
      <c r="B363" s="22">
        <v>2214</v>
      </c>
      <c r="C363" s="21" t="s">
        <v>392</v>
      </c>
      <c r="D363" s="22" t="s">
        <v>28</v>
      </c>
      <c r="E363" s="22" t="s">
        <v>24</v>
      </c>
      <c r="F363" s="21" t="s">
        <v>391</v>
      </c>
      <c r="G363" s="22" t="s">
        <v>26</v>
      </c>
      <c r="H363" s="12">
        <v>5000</v>
      </c>
      <c r="I363" s="12">
        <v>1200</v>
      </c>
      <c r="J363" s="12">
        <v>150</v>
      </c>
      <c r="K363" s="12">
        <v>1400</v>
      </c>
      <c r="L363" s="12">
        <v>11517</v>
      </c>
      <c r="M363" s="11">
        <f>L363*4+AI363-AJ363</f>
        <v>46068</v>
      </c>
      <c r="N363" s="13">
        <v>2303</v>
      </c>
      <c r="O363" s="12">
        <v>5000</v>
      </c>
      <c r="P363" s="12">
        <v>1200</v>
      </c>
      <c r="Q363" s="12"/>
      <c r="R363" s="11">
        <f>43765+150+1400</f>
        <v>45315</v>
      </c>
      <c r="S363" s="12"/>
      <c r="T363" s="12"/>
      <c r="U363" s="12"/>
      <c r="V363" s="12"/>
      <c r="W363" s="12"/>
      <c r="X363" s="12"/>
      <c r="Y363" s="12"/>
      <c r="Z363" s="12"/>
      <c r="AA363" s="12"/>
      <c r="AB363" s="12"/>
      <c r="AC363" s="12"/>
      <c r="AD363" s="12"/>
      <c r="AE363" s="12"/>
      <c r="AF363" s="13">
        <f>H363+I363+J363+K363+M363-N363</f>
        <v>51515</v>
      </c>
      <c r="AG363" s="13">
        <f>SUM(O363:AE363)</f>
        <v>51515</v>
      </c>
      <c r="AH363" s="13">
        <f>AF363-AG363</f>
        <v>0</v>
      </c>
      <c r="AI363" s="12"/>
      <c r="AJ363" s="12"/>
      <c r="AK363" s="12"/>
    </row>
    <row r="364" spans="1:37">
      <c r="A364" s="10">
        <v>3</v>
      </c>
      <c r="B364" s="10">
        <v>1803</v>
      </c>
      <c r="C364" s="10" t="s">
        <v>393</v>
      </c>
      <c r="D364" s="11" t="s">
        <v>28</v>
      </c>
      <c r="E364" s="11"/>
      <c r="F364" s="10" t="s">
        <v>391</v>
      </c>
      <c r="G364" s="11" t="s">
        <v>26</v>
      </c>
      <c r="H364" s="12"/>
      <c r="I364" s="12"/>
      <c r="J364" s="12">
        <v>150</v>
      </c>
      <c r="K364" s="12">
        <v>1400</v>
      </c>
      <c r="L364" s="12">
        <v>11517</v>
      </c>
      <c r="M364" s="11">
        <f>L364*4+AI364-AJ364</f>
        <v>46068</v>
      </c>
      <c r="N364" s="13">
        <v>2303</v>
      </c>
      <c r="O364" s="12"/>
      <c r="P364" s="12"/>
      <c r="Q364" s="12"/>
      <c r="R364" s="12"/>
      <c r="S364" s="12"/>
      <c r="T364" s="12">
        <v>45315</v>
      </c>
      <c r="U364" s="12"/>
      <c r="V364" s="12"/>
      <c r="W364" s="12"/>
      <c r="X364" s="12"/>
      <c r="Y364" s="12"/>
      <c r="Z364" s="12"/>
      <c r="AA364" s="12"/>
      <c r="AB364" s="12"/>
      <c r="AC364" s="12"/>
      <c r="AD364" s="12"/>
      <c r="AE364" s="12"/>
      <c r="AF364" s="13">
        <f>H364+I364+J364+K364+M364-N364</f>
        <v>45315</v>
      </c>
      <c r="AG364" s="13">
        <f>SUM(O364:AE364)</f>
        <v>45315</v>
      </c>
      <c r="AH364" s="13">
        <f>AF364-AG364</f>
        <v>0</v>
      </c>
      <c r="AI364" s="12"/>
      <c r="AJ364" s="12"/>
      <c r="AK364" s="12"/>
    </row>
    <row r="365" spans="1:37">
      <c r="A365" s="10">
        <v>4</v>
      </c>
      <c r="B365" s="10">
        <v>1802</v>
      </c>
      <c r="C365" s="10" t="s">
        <v>394</v>
      </c>
      <c r="D365" s="11" t="s">
        <v>23</v>
      </c>
      <c r="E365" s="11"/>
      <c r="F365" s="10" t="s">
        <v>391</v>
      </c>
      <c r="G365" s="11" t="s">
        <v>26</v>
      </c>
      <c r="H365" s="12"/>
      <c r="I365" s="12"/>
      <c r="J365" s="12">
        <v>150</v>
      </c>
      <c r="K365" s="12">
        <v>1400</v>
      </c>
      <c r="L365" s="12">
        <v>11517</v>
      </c>
      <c r="M365" s="11">
        <f>L365*4+AI365-AJ365</f>
        <v>46068</v>
      </c>
      <c r="N365" s="13">
        <v>2303</v>
      </c>
      <c r="O365" s="12"/>
      <c r="P365" s="12"/>
      <c r="Q365" s="12"/>
      <c r="R365" s="12"/>
      <c r="S365" s="12"/>
      <c r="T365" s="12">
        <v>45315</v>
      </c>
      <c r="U365" s="12"/>
      <c r="V365" s="12"/>
      <c r="W365" s="12"/>
      <c r="X365" s="12"/>
      <c r="Y365" s="12"/>
      <c r="Z365" s="12"/>
      <c r="AA365" s="12"/>
      <c r="AB365" s="12"/>
      <c r="AC365" s="12"/>
      <c r="AD365" s="12"/>
      <c r="AE365" s="12"/>
      <c r="AF365" s="13">
        <f>H365+I365+J365+K365+M365-N365</f>
        <v>45315</v>
      </c>
      <c r="AG365" s="13">
        <f>SUM(O365:AE365)</f>
        <v>45315</v>
      </c>
      <c r="AH365" s="13">
        <f>AF365-AG365</f>
        <v>0</v>
      </c>
      <c r="AI365" s="12"/>
      <c r="AJ365" s="12"/>
      <c r="AK365" s="12"/>
    </row>
    <row r="366" spans="1:37">
      <c r="A366" s="10">
        <v>5</v>
      </c>
      <c r="B366" s="11">
        <v>1429</v>
      </c>
      <c r="C366" s="10" t="s">
        <v>395</v>
      </c>
      <c r="D366" s="11" t="s">
        <v>23</v>
      </c>
      <c r="E366" s="11"/>
      <c r="F366" s="10" t="s">
        <v>391</v>
      </c>
      <c r="G366" s="11" t="s">
        <v>26</v>
      </c>
      <c r="H366" s="12"/>
      <c r="I366" s="12"/>
      <c r="J366" s="12">
        <v>150</v>
      </c>
      <c r="K366" s="12">
        <v>1400</v>
      </c>
      <c r="L366" s="12">
        <v>11517</v>
      </c>
      <c r="M366" s="11">
        <f>L366*4+AI366-AJ366</f>
        <v>46068</v>
      </c>
      <c r="N366" s="13"/>
      <c r="O366" s="12"/>
      <c r="P366" s="12"/>
      <c r="Q366" s="12"/>
      <c r="R366" s="12"/>
      <c r="S366" s="12"/>
      <c r="T366" s="12">
        <v>12017</v>
      </c>
      <c r="U366" s="12"/>
      <c r="V366" s="12"/>
      <c r="W366" s="12"/>
      <c r="X366" s="12"/>
      <c r="Y366" s="12"/>
      <c r="Z366" s="12"/>
      <c r="AA366" s="12"/>
      <c r="AB366" s="12"/>
      <c r="AC366" s="12"/>
      <c r="AD366" s="12"/>
      <c r="AE366" s="12"/>
      <c r="AF366" s="13">
        <f>H366+I366+J366+K366+M366-N366</f>
        <v>47618</v>
      </c>
      <c r="AG366" s="13">
        <f>SUM(O366:AE366)</f>
        <v>12017</v>
      </c>
      <c r="AH366" s="13">
        <f>AF366-AG366</f>
        <v>35601</v>
      </c>
      <c r="AI366" s="12"/>
      <c r="AJ366" s="12"/>
      <c r="AK366" s="12"/>
    </row>
    <row r="367" spans="1:37">
      <c r="A367" s="10">
        <v>6</v>
      </c>
      <c r="B367" s="11">
        <v>1370</v>
      </c>
      <c r="C367" s="10" t="s">
        <v>396</v>
      </c>
      <c r="D367" s="11" t="s">
        <v>28</v>
      </c>
      <c r="E367" s="11"/>
      <c r="F367" s="10" t="s">
        <v>391</v>
      </c>
      <c r="G367" s="11" t="s">
        <v>26</v>
      </c>
      <c r="H367" s="9"/>
      <c r="I367" s="12"/>
      <c r="J367" s="12">
        <v>150</v>
      </c>
      <c r="K367" s="12">
        <v>1400</v>
      </c>
      <c r="L367" s="12">
        <v>11517</v>
      </c>
      <c r="M367" s="11">
        <f>L367*4+AI367-AJ367</f>
        <v>46068</v>
      </c>
      <c r="N367" s="13"/>
      <c r="O367" s="12"/>
      <c r="P367" s="12"/>
      <c r="Q367" s="12"/>
      <c r="R367" s="12"/>
      <c r="S367" s="12"/>
      <c r="T367" s="12">
        <v>12017</v>
      </c>
      <c r="U367" s="12"/>
      <c r="V367" s="12"/>
      <c r="W367" s="12"/>
      <c r="X367" s="12"/>
      <c r="Y367" s="12"/>
      <c r="Z367" s="12"/>
      <c r="AA367" s="12"/>
      <c r="AB367" s="12"/>
      <c r="AC367" s="12"/>
      <c r="AD367" s="12"/>
      <c r="AE367" s="12"/>
      <c r="AF367" s="13">
        <f>H367+I367+J367+K367+M367-N367</f>
        <v>47618</v>
      </c>
      <c r="AG367" s="13">
        <f>SUM(O367:AE367)</f>
        <v>12017</v>
      </c>
      <c r="AH367" s="13">
        <f>AF367-AG367</f>
        <v>35601</v>
      </c>
      <c r="AI367" s="12"/>
      <c r="AJ367" s="12"/>
      <c r="AK367" s="12"/>
    </row>
    <row r="368" spans="1:37">
      <c r="A368" s="10">
        <v>7</v>
      </c>
      <c r="B368" s="15">
        <v>1953</v>
      </c>
      <c r="C368" s="14" t="s">
        <v>397</v>
      </c>
      <c r="D368" s="15" t="s">
        <v>23</v>
      </c>
      <c r="E368" s="15"/>
      <c r="F368" s="14" t="s">
        <v>391</v>
      </c>
      <c r="G368" s="15" t="s">
        <v>26</v>
      </c>
      <c r="H368" s="9"/>
      <c r="I368" s="12"/>
      <c r="J368" s="12">
        <v>150</v>
      </c>
      <c r="K368" s="12">
        <v>0</v>
      </c>
      <c r="L368" s="12">
        <v>0</v>
      </c>
      <c r="M368" s="11">
        <f>L368*4+AI368-AJ368</f>
        <v>0</v>
      </c>
      <c r="N368" s="13"/>
      <c r="O368" s="12"/>
      <c r="P368" s="12"/>
      <c r="Q368" s="12"/>
      <c r="R368" s="12"/>
      <c r="S368" s="12"/>
      <c r="T368" s="12"/>
      <c r="U368" s="12">
        <v>150</v>
      </c>
      <c r="V368" s="12"/>
      <c r="W368" s="12"/>
      <c r="X368" s="12"/>
      <c r="Y368" s="12"/>
      <c r="Z368" s="12"/>
      <c r="AA368" s="12"/>
      <c r="AB368" s="12"/>
      <c r="AC368" s="12"/>
      <c r="AD368" s="12"/>
      <c r="AE368" s="12"/>
      <c r="AF368" s="13">
        <f>H368+I368+J368+K368+M368-N368</f>
        <v>150</v>
      </c>
      <c r="AG368" s="13">
        <f>SUM(O368:AE368)</f>
        <v>150</v>
      </c>
      <c r="AH368" s="13">
        <f>AF368-AG368</f>
        <v>0</v>
      </c>
      <c r="AI368" s="12"/>
      <c r="AJ368" s="12"/>
      <c r="AK368" s="12"/>
    </row>
    <row r="369" spans="1:37">
      <c r="A369" s="10">
        <v>8</v>
      </c>
      <c r="B369" s="11">
        <v>1478</v>
      </c>
      <c r="C369" s="10" t="s">
        <v>398</v>
      </c>
      <c r="D369" s="11" t="s">
        <v>28</v>
      </c>
      <c r="E369" s="11"/>
      <c r="F369" s="10" t="s">
        <v>391</v>
      </c>
      <c r="G369" s="11" t="s">
        <v>26</v>
      </c>
      <c r="H369" s="9"/>
      <c r="I369" s="12"/>
      <c r="J369" s="12">
        <v>150</v>
      </c>
      <c r="K369" s="12">
        <v>1400</v>
      </c>
      <c r="L369" s="12">
        <v>11517</v>
      </c>
      <c r="M369" s="11">
        <f>L369*4+AI369-AJ369</f>
        <v>46068</v>
      </c>
      <c r="N369" s="13"/>
      <c r="O369" s="12"/>
      <c r="P369" s="12"/>
      <c r="Q369" s="12"/>
      <c r="R369" s="12"/>
      <c r="S369" s="12"/>
      <c r="T369" s="12">
        <v>12017</v>
      </c>
      <c r="U369" s="12"/>
      <c r="V369" s="12"/>
      <c r="W369" s="12"/>
      <c r="X369" s="12"/>
      <c r="Y369" s="12"/>
      <c r="Z369" s="12"/>
      <c r="AA369" s="12"/>
      <c r="AB369" s="12"/>
      <c r="AC369" s="12"/>
      <c r="AD369" s="12"/>
      <c r="AE369" s="12"/>
      <c r="AF369" s="13">
        <f>H369+I369+J369+K369+M369-N369</f>
        <v>47618</v>
      </c>
      <c r="AG369" s="13">
        <f>SUM(O369:AE369)</f>
        <v>12017</v>
      </c>
      <c r="AH369" s="13">
        <f>AF369-AG369</f>
        <v>35601</v>
      </c>
      <c r="AI369" s="12"/>
      <c r="AJ369" s="12"/>
      <c r="AK369" s="12"/>
    </row>
    <row r="370" spans="1:37">
      <c r="A370" s="10">
        <v>9</v>
      </c>
      <c r="B370" s="11">
        <v>1281</v>
      </c>
      <c r="C370" s="10" t="s">
        <v>399</v>
      </c>
      <c r="D370" s="11" t="s">
        <v>28</v>
      </c>
      <c r="E370" s="11"/>
      <c r="F370" s="10" t="s">
        <v>391</v>
      </c>
      <c r="G370" s="11" t="s">
        <v>26</v>
      </c>
      <c r="H370" s="9"/>
      <c r="I370" s="12"/>
      <c r="J370" s="12">
        <v>150</v>
      </c>
      <c r="K370" s="12">
        <v>1400</v>
      </c>
      <c r="L370" s="12">
        <v>11517</v>
      </c>
      <c r="M370" s="11">
        <f>L370*4+AI370-AJ370</f>
        <v>46068</v>
      </c>
      <c r="N370" s="13">
        <v>2303</v>
      </c>
      <c r="O370" s="12"/>
      <c r="P370" s="12"/>
      <c r="Q370" s="12"/>
      <c r="R370" s="12"/>
      <c r="S370" s="11">
        <f>12017+33298</f>
        <v>45315</v>
      </c>
      <c r="T370" s="12"/>
      <c r="U370" s="12"/>
      <c r="V370" s="12"/>
      <c r="W370" s="12"/>
      <c r="X370" s="12"/>
      <c r="Y370" s="12"/>
      <c r="Z370" s="12"/>
      <c r="AA370" s="12"/>
      <c r="AB370" s="12"/>
      <c r="AC370" s="12"/>
      <c r="AD370" s="12"/>
      <c r="AE370" s="12"/>
      <c r="AF370" s="13">
        <f>H370+I370+J370+K370+M370-N370</f>
        <v>45315</v>
      </c>
      <c r="AG370" s="13">
        <f>SUM(O370:AE370)</f>
        <v>45315</v>
      </c>
      <c r="AH370" s="13">
        <f>AF370-AG370</f>
        <v>0</v>
      </c>
      <c r="AI370" s="12"/>
      <c r="AJ370" s="12"/>
      <c r="AK370" s="12"/>
    </row>
    <row r="371" spans="1:37">
      <c r="A371" s="10">
        <v>10</v>
      </c>
      <c r="B371" s="11">
        <v>1456</v>
      </c>
      <c r="C371" s="10" t="s">
        <v>400</v>
      </c>
      <c r="D371" s="11" t="s">
        <v>28</v>
      </c>
      <c r="E371" s="11"/>
      <c r="F371" s="10" t="s">
        <v>391</v>
      </c>
      <c r="G371" s="11" t="s">
        <v>26</v>
      </c>
      <c r="H371" s="9"/>
      <c r="I371" s="12"/>
      <c r="J371" s="12">
        <v>150</v>
      </c>
      <c r="K371" s="12">
        <v>1400</v>
      </c>
      <c r="L371" s="12">
        <v>11517</v>
      </c>
      <c r="M371" s="11">
        <f>L371*4+AI371-AJ371</f>
        <v>46068</v>
      </c>
      <c r="N371" s="13"/>
      <c r="O371" s="12"/>
      <c r="P371" s="12"/>
      <c r="Q371" s="12"/>
      <c r="R371" s="12"/>
      <c r="S371" s="12"/>
      <c r="T371" s="12">
        <v>12017</v>
      </c>
      <c r="U371" s="12"/>
      <c r="V371" s="12"/>
      <c r="W371" s="12"/>
      <c r="X371" s="12"/>
      <c r="Y371" s="12"/>
      <c r="Z371" s="12"/>
      <c r="AA371" s="12"/>
      <c r="AB371" s="12"/>
      <c r="AC371" s="12"/>
      <c r="AD371" s="12"/>
      <c r="AE371" s="12"/>
      <c r="AF371" s="13">
        <f>H371+I371+J371+K371+M371-N371</f>
        <v>47618</v>
      </c>
      <c r="AG371" s="13">
        <f>SUM(O371:AE371)</f>
        <v>12017</v>
      </c>
      <c r="AH371" s="13">
        <f>AF371-AG371</f>
        <v>35601</v>
      </c>
      <c r="AI371" s="12"/>
      <c r="AJ371" s="12"/>
      <c r="AK371" s="12"/>
    </row>
    <row r="372" spans="1:37">
      <c r="A372" s="10">
        <v>11</v>
      </c>
      <c r="B372" s="11">
        <v>1497</v>
      </c>
      <c r="C372" s="10" t="s">
        <v>401</v>
      </c>
      <c r="D372" s="11" t="s">
        <v>23</v>
      </c>
      <c r="E372" s="11"/>
      <c r="F372" s="10" t="s">
        <v>391</v>
      </c>
      <c r="G372" s="11" t="s">
        <v>26</v>
      </c>
      <c r="H372" s="9"/>
      <c r="I372" s="12"/>
      <c r="J372" s="12">
        <v>150</v>
      </c>
      <c r="K372" s="12">
        <v>1400</v>
      </c>
      <c r="L372" s="12">
        <v>11517</v>
      </c>
      <c r="M372" s="11">
        <f>L372*4+AI372-AJ372</f>
        <v>46068</v>
      </c>
      <c r="N372" s="13"/>
      <c r="O372" s="12"/>
      <c r="P372" s="12"/>
      <c r="Q372" s="12"/>
      <c r="R372" s="12"/>
      <c r="S372" s="12"/>
      <c r="T372" s="12">
        <v>12017</v>
      </c>
      <c r="U372" s="12"/>
      <c r="V372" s="12"/>
      <c r="W372" s="12"/>
      <c r="X372" s="12"/>
      <c r="Y372" s="12"/>
      <c r="Z372" s="12"/>
      <c r="AA372" s="12"/>
      <c r="AB372" s="12"/>
      <c r="AC372" s="12"/>
      <c r="AD372" s="12"/>
      <c r="AE372" s="12"/>
      <c r="AF372" s="13">
        <f>H372+I372+J372+K372+M372-N372</f>
        <v>47618</v>
      </c>
      <c r="AG372" s="13">
        <f>SUM(O372:AE372)</f>
        <v>12017</v>
      </c>
      <c r="AH372" s="13">
        <f>AF372-AG372</f>
        <v>35601</v>
      </c>
      <c r="AI372" s="12"/>
      <c r="AJ372" s="12"/>
      <c r="AK372" s="12"/>
    </row>
    <row r="373" spans="1:37">
      <c r="A373" s="10">
        <v>12</v>
      </c>
      <c r="B373" s="11">
        <v>1288</v>
      </c>
      <c r="C373" s="10" t="s">
        <v>402</v>
      </c>
      <c r="D373" s="11" t="s">
        <v>23</v>
      </c>
      <c r="E373" s="11"/>
      <c r="F373" s="10" t="s">
        <v>391</v>
      </c>
      <c r="G373" s="11" t="s">
        <v>26</v>
      </c>
      <c r="H373" s="9"/>
      <c r="I373" s="12"/>
      <c r="J373" s="12">
        <v>150</v>
      </c>
      <c r="K373" s="12">
        <v>1400</v>
      </c>
      <c r="L373" s="12">
        <v>11517</v>
      </c>
      <c r="M373" s="11">
        <f>L373*4+AI373-AJ373</f>
        <v>46068</v>
      </c>
      <c r="N373" s="13">
        <v>2303</v>
      </c>
      <c r="O373" s="12"/>
      <c r="P373" s="12"/>
      <c r="Q373" s="12"/>
      <c r="R373" s="12"/>
      <c r="S373" s="12">
        <v>45315</v>
      </c>
      <c r="T373" s="12"/>
      <c r="U373" s="12"/>
      <c r="V373" s="12"/>
      <c r="W373" s="12"/>
      <c r="X373" s="12"/>
      <c r="Y373" s="12"/>
      <c r="Z373" s="12"/>
      <c r="AA373" s="12"/>
      <c r="AB373" s="12"/>
      <c r="AC373" s="12"/>
      <c r="AD373" s="12"/>
      <c r="AE373" s="12"/>
      <c r="AF373" s="13">
        <f>H373+I373+J373+K373+M373-N373</f>
        <v>45315</v>
      </c>
      <c r="AG373" s="13">
        <f>SUM(O373:AE373)</f>
        <v>45315</v>
      </c>
      <c r="AH373" s="13">
        <f>AF373-AG373</f>
        <v>0</v>
      </c>
      <c r="AI373" s="12"/>
      <c r="AJ373" s="12"/>
      <c r="AK373" s="12"/>
    </row>
    <row r="374" spans="1:37">
      <c r="A374" s="10">
        <v>13</v>
      </c>
      <c r="B374" s="15">
        <v>1919</v>
      </c>
      <c r="C374" s="14" t="s">
        <v>403</v>
      </c>
      <c r="D374" s="15" t="s">
        <v>28</v>
      </c>
      <c r="E374" s="15"/>
      <c r="F374" s="14" t="s">
        <v>391</v>
      </c>
      <c r="G374" s="15" t="s">
        <v>26</v>
      </c>
      <c r="H374" s="9"/>
      <c r="I374" s="12"/>
      <c r="J374" s="12">
        <v>150</v>
      </c>
      <c r="K374" s="12">
        <v>0</v>
      </c>
      <c r="L374" s="12">
        <v>0</v>
      </c>
      <c r="M374" s="11">
        <f>L374*4+AI374-AJ374</f>
        <v>0</v>
      </c>
      <c r="N374" s="13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  <c r="AA374" s="12"/>
      <c r="AB374" s="12"/>
      <c r="AC374" s="12"/>
      <c r="AD374" s="12"/>
      <c r="AE374" s="12"/>
      <c r="AF374" s="13">
        <f>H374+I374+J374+K374+M374-N374</f>
        <v>150</v>
      </c>
      <c r="AG374" s="13">
        <f>SUM(O374:AE374)</f>
        <v>0</v>
      </c>
      <c r="AH374" s="13">
        <f>AF374-AG374</f>
        <v>150</v>
      </c>
      <c r="AI374" s="12"/>
      <c r="AJ374" s="12"/>
      <c r="AK374" s="12"/>
    </row>
    <row r="375" spans="1:37">
      <c r="A375" s="10">
        <v>14</v>
      </c>
      <c r="B375" s="15">
        <v>1966</v>
      </c>
      <c r="C375" s="14" t="s">
        <v>404</v>
      </c>
      <c r="D375" s="15" t="s">
        <v>23</v>
      </c>
      <c r="E375" s="15"/>
      <c r="F375" s="14" t="s">
        <v>391</v>
      </c>
      <c r="G375" s="15" t="s">
        <v>26</v>
      </c>
      <c r="H375" s="9"/>
      <c r="I375" s="12"/>
      <c r="J375" s="12">
        <v>150</v>
      </c>
      <c r="K375" s="12">
        <v>0</v>
      </c>
      <c r="L375" s="12">
        <v>0</v>
      </c>
      <c r="M375" s="11">
        <f>L375*4+AI375-AJ375</f>
        <v>0</v>
      </c>
      <c r="N375" s="13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  <c r="AA375" s="12"/>
      <c r="AB375" s="12"/>
      <c r="AC375" s="12"/>
      <c r="AD375" s="12"/>
      <c r="AE375" s="12"/>
      <c r="AF375" s="13">
        <f>H375+I375+J375+K375+M375-N375</f>
        <v>150</v>
      </c>
      <c r="AG375" s="13">
        <f>SUM(O375:AE375)</f>
        <v>0</v>
      </c>
      <c r="AH375" s="13">
        <f>AF375-AG375</f>
        <v>150</v>
      </c>
      <c r="AI375" s="12"/>
      <c r="AJ375" s="12"/>
      <c r="AK375" s="12"/>
    </row>
    <row r="376" spans="1:37">
      <c r="A376" s="10">
        <v>15</v>
      </c>
      <c r="B376" s="11">
        <v>1577</v>
      </c>
      <c r="C376" s="10" t="s">
        <v>405</v>
      </c>
      <c r="D376" s="11" t="s">
        <v>28</v>
      </c>
      <c r="E376" s="11"/>
      <c r="F376" s="10" t="s">
        <v>391</v>
      </c>
      <c r="G376" s="11" t="s">
        <v>26</v>
      </c>
      <c r="H376" s="9"/>
      <c r="I376" s="12"/>
      <c r="J376" s="12">
        <v>150</v>
      </c>
      <c r="K376" s="12">
        <v>1400</v>
      </c>
      <c r="L376" s="12">
        <v>11517</v>
      </c>
      <c r="M376" s="11">
        <f>L376*4+AI376-AJ376</f>
        <v>46068</v>
      </c>
      <c r="N376" s="13"/>
      <c r="O376" s="12"/>
      <c r="P376" s="12"/>
      <c r="Q376" s="12"/>
      <c r="R376" s="12"/>
      <c r="S376" s="12">
        <v>12017</v>
      </c>
      <c r="T376" s="12"/>
      <c r="U376" s="12"/>
      <c r="V376" s="12"/>
      <c r="W376" s="12"/>
      <c r="X376" s="12"/>
      <c r="Y376" s="12"/>
      <c r="Z376" s="12"/>
      <c r="AA376" s="12"/>
      <c r="AB376" s="12"/>
      <c r="AC376" s="12"/>
      <c r="AD376" s="12"/>
      <c r="AE376" s="12"/>
      <c r="AF376" s="13">
        <f>H376+I376+J376+K376+M376-N376</f>
        <v>47618</v>
      </c>
      <c r="AG376" s="13">
        <f>SUM(O376:AE376)</f>
        <v>12017</v>
      </c>
      <c r="AH376" s="13">
        <f>AF376-AG376</f>
        <v>35601</v>
      </c>
      <c r="AI376" s="12"/>
      <c r="AJ376" s="12"/>
      <c r="AK376" s="12"/>
    </row>
    <row r="377" spans="1:37">
      <c r="A377" s="10">
        <v>16</v>
      </c>
      <c r="B377" s="11">
        <v>1451</v>
      </c>
      <c r="C377" s="10" t="s">
        <v>406</v>
      </c>
      <c r="D377" s="11" t="s">
        <v>28</v>
      </c>
      <c r="E377" s="11"/>
      <c r="F377" s="10" t="s">
        <v>391</v>
      </c>
      <c r="G377" s="11" t="s">
        <v>26</v>
      </c>
      <c r="H377" s="9"/>
      <c r="I377" s="12"/>
      <c r="J377" s="12">
        <v>150</v>
      </c>
      <c r="K377" s="12">
        <v>1400</v>
      </c>
      <c r="L377" s="12">
        <v>11517</v>
      </c>
      <c r="M377" s="11">
        <f>L377*4+AI377-AJ377</f>
        <v>46068</v>
      </c>
      <c r="N377" s="13">
        <v>2303</v>
      </c>
      <c r="O377" s="12"/>
      <c r="P377" s="12"/>
      <c r="Q377" s="12"/>
      <c r="R377" s="12"/>
      <c r="S377" s="12"/>
      <c r="T377" s="12">
        <v>45315</v>
      </c>
      <c r="U377" s="12"/>
      <c r="V377" s="12"/>
      <c r="W377" s="12"/>
      <c r="X377" s="12"/>
      <c r="Y377" s="12"/>
      <c r="Z377" s="12"/>
      <c r="AA377" s="12"/>
      <c r="AB377" s="12"/>
      <c r="AC377" s="12"/>
      <c r="AD377" s="12"/>
      <c r="AE377" s="12"/>
      <c r="AF377" s="13">
        <f>H377+I377+J377+K377+M377-N377</f>
        <v>45315</v>
      </c>
      <c r="AG377" s="13">
        <f>SUM(O377:AE377)</f>
        <v>45315</v>
      </c>
      <c r="AH377" s="13">
        <f>AF377-AG377</f>
        <v>0</v>
      </c>
      <c r="AI377" s="12"/>
      <c r="AJ377" s="12"/>
      <c r="AK377" s="12"/>
    </row>
    <row r="378" spans="1:37">
      <c r="A378" s="10">
        <v>17</v>
      </c>
      <c r="B378" s="22">
        <v>2224</v>
      </c>
      <c r="C378" s="21" t="s">
        <v>407</v>
      </c>
      <c r="D378" s="22" t="s">
        <v>28</v>
      </c>
      <c r="E378" s="22" t="s">
        <v>24</v>
      </c>
      <c r="F378" s="21" t="s">
        <v>391</v>
      </c>
      <c r="G378" s="22" t="s">
        <v>26</v>
      </c>
      <c r="H378" s="9">
        <v>5000</v>
      </c>
      <c r="I378" s="12">
        <v>1200</v>
      </c>
      <c r="J378" s="12">
        <v>150</v>
      </c>
      <c r="K378" s="12">
        <v>1400</v>
      </c>
      <c r="L378" s="12">
        <v>11517</v>
      </c>
      <c r="M378" s="11">
        <f>L378*4+AI378-AJ378</f>
        <v>46068</v>
      </c>
      <c r="N378" s="13"/>
      <c r="O378" s="12">
        <v>5000</v>
      </c>
      <c r="P378" s="12">
        <v>1200</v>
      </c>
      <c r="Q378" s="12"/>
      <c r="R378" s="11">
        <f>11517+150+350</f>
        <v>12017</v>
      </c>
      <c r="S378" s="12"/>
      <c r="T378" s="12"/>
      <c r="U378" s="12"/>
      <c r="V378" s="12">
        <v>11867</v>
      </c>
      <c r="W378" s="12"/>
      <c r="X378" s="12"/>
      <c r="Y378" s="12"/>
      <c r="Z378" s="12"/>
      <c r="AA378" s="12"/>
      <c r="AB378" s="12"/>
      <c r="AC378" s="12"/>
      <c r="AD378" s="12"/>
      <c r="AE378" s="12"/>
      <c r="AF378" s="13">
        <f>H378+I378+J378+K378+M378-N378</f>
        <v>53818</v>
      </c>
      <c r="AG378" s="13">
        <f>SUM(O378:AE378)</f>
        <v>30084</v>
      </c>
      <c r="AH378" s="13">
        <f>AF378-AG378</f>
        <v>23734</v>
      </c>
      <c r="AI378" s="12"/>
      <c r="AJ378" s="12"/>
      <c r="AK378" s="12"/>
    </row>
    <row r="379" spans="1:37">
      <c r="A379" s="10">
        <v>18</v>
      </c>
      <c r="B379" s="11">
        <v>1461</v>
      </c>
      <c r="C379" s="10" t="s">
        <v>408</v>
      </c>
      <c r="D379" s="11" t="s">
        <v>23</v>
      </c>
      <c r="E379" s="11"/>
      <c r="F379" s="10" t="s">
        <v>391</v>
      </c>
      <c r="G379" s="11" t="s">
        <v>26</v>
      </c>
      <c r="H379" s="9"/>
      <c r="I379" s="12"/>
      <c r="J379" s="12">
        <v>150</v>
      </c>
      <c r="K379" s="12">
        <v>1400</v>
      </c>
      <c r="L379" s="12">
        <v>11517</v>
      </c>
      <c r="M379" s="11">
        <f>L379*4+AI379-AJ379</f>
        <v>46068</v>
      </c>
      <c r="N379" s="13"/>
      <c r="O379" s="12"/>
      <c r="P379" s="12"/>
      <c r="Q379" s="12"/>
      <c r="R379" s="12"/>
      <c r="S379" s="12"/>
      <c r="T379" s="12">
        <v>12017</v>
      </c>
      <c r="U379" s="12"/>
      <c r="V379" s="12"/>
      <c r="W379" s="12"/>
      <c r="X379" s="12"/>
      <c r="Y379" s="12"/>
      <c r="Z379" s="12"/>
      <c r="AA379" s="12"/>
      <c r="AB379" s="12"/>
      <c r="AC379" s="12"/>
      <c r="AD379" s="12"/>
      <c r="AE379" s="12"/>
      <c r="AF379" s="13">
        <f>H379+I379+J379+K379+M379-N379</f>
        <v>47618</v>
      </c>
      <c r="AG379" s="13">
        <f>SUM(O379:AE379)</f>
        <v>12017</v>
      </c>
      <c r="AH379" s="13">
        <f>AF379-AG379</f>
        <v>35601</v>
      </c>
      <c r="AI379" s="12"/>
      <c r="AJ379" s="12"/>
      <c r="AK379" s="12"/>
    </row>
    <row r="380" spans="1:37">
      <c r="A380" s="10">
        <v>19</v>
      </c>
      <c r="B380" s="11">
        <v>1428</v>
      </c>
      <c r="C380" s="10" t="s">
        <v>409</v>
      </c>
      <c r="D380" s="11" t="s">
        <v>28</v>
      </c>
      <c r="E380" s="11"/>
      <c r="F380" s="10" t="s">
        <v>391</v>
      </c>
      <c r="G380" s="11" t="s">
        <v>26</v>
      </c>
      <c r="H380" s="9"/>
      <c r="I380" s="12"/>
      <c r="J380" s="12">
        <v>150</v>
      </c>
      <c r="K380" s="12">
        <v>1400</v>
      </c>
      <c r="L380" s="12">
        <v>11517</v>
      </c>
      <c r="M380" s="11">
        <f>L380*4+AI380-AJ380</f>
        <v>46068</v>
      </c>
      <c r="N380" s="13"/>
      <c r="O380" s="12"/>
      <c r="P380" s="12"/>
      <c r="Q380" s="12"/>
      <c r="R380" s="12"/>
      <c r="S380" s="12"/>
      <c r="T380" s="12">
        <v>12017</v>
      </c>
      <c r="U380" s="12"/>
      <c r="V380" s="12">
        <v>11867</v>
      </c>
      <c r="W380" s="12"/>
      <c r="X380" s="12"/>
      <c r="Y380" s="12"/>
      <c r="Z380" s="12"/>
      <c r="AA380" s="12"/>
      <c r="AB380" s="12"/>
      <c r="AC380" s="12"/>
      <c r="AD380" s="12"/>
      <c r="AE380" s="12"/>
      <c r="AF380" s="13">
        <f>H380+I380+J380+K380+M380-N380</f>
        <v>47618</v>
      </c>
      <c r="AG380" s="13">
        <f>SUM(O380:AE380)</f>
        <v>23884</v>
      </c>
      <c r="AH380" s="13">
        <f>AF380-AG380</f>
        <v>23734</v>
      </c>
      <c r="AI380" s="12"/>
      <c r="AJ380" s="12"/>
      <c r="AK380" s="12"/>
    </row>
    <row r="381" spans="1:37">
      <c r="A381" s="10">
        <v>20</v>
      </c>
      <c r="B381" s="11">
        <v>1280</v>
      </c>
      <c r="C381" s="10" t="s">
        <v>410</v>
      </c>
      <c r="D381" s="11" t="s">
        <v>23</v>
      </c>
      <c r="E381" s="11"/>
      <c r="F381" s="10" t="s">
        <v>391</v>
      </c>
      <c r="G381" s="11" t="s">
        <v>26</v>
      </c>
      <c r="H381" s="9"/>
      <c r="I381" s="12"/>
      <c r="J381" s="12">
        <v>150</v>
      </c>
      <c r="K381" s="12">
        <v>1400</v>
      </c>
      <c r="L381" s="12">
        <v>11517</v>
      </c>
      <c r="M381" s="11">
        <f>L381*4+AI381-AJ381</f>
        <v>46068</v>
      </c>
      <c r="N381" s="13"/>
      <c r="O381" s="12"/>
      <c r="P381" s="12"/>
      <c r="Q381" s="12"/>
      <c r="R381" s="12"/>
      <c r="S381" s="12"/>
      <c r="T381" s="12"/>
      <c r="U381" s="12">
        <v>12017</v>
      </c>
      <c r="V381" s="12"/>
      <c r="W381" s="12"/>
      <c r="X381" s="12"/>
      <c r="Y381" s="12"/>
      <c r="Z381" s="12"/>
      <c r="AA381" s="12"/>
      <c r="AB381" s="12"/>
      <c r="AC381" s="12"/>
      <c r="AD381" s="12"/>
      <c r="AE381" s="12"/>
      <c r="AF381" s="13">
        <f>H381+I381+J381+K381+M381-N381</f>
        <v>47618</v>
      </c>
      <c r="AG381" s="13">
        <f>SUM(O381:AE381)</f>
        <v>12017</v>
      </c>
      <c r="AH381" s="13">
        <f>AF381-AG381</f>
        <v>35601</v>
      </c>
      <c r="AI381" s="12"/>
      <c r="AJ381" s="12"/>
      <c r="AK381" s="12"/>
    </row>
    <row r="382" spans="1:37">
      <c r="A382" s="10">
        <v>21</v>
      </c>
      <c r="B382" s="22">
        <v>2205</v>
      </c>
      <c r="C382" s="21" t="s">
        <v>411</v>
      </c>
      <c r="D382" s="22" t="s">
        <v>23</v>
      </c>
      <c r="E382" s="22" t="s">
        <v>24</v>
      </c>
      <c r="F382" s="21" t="s">
        <v>391</v>
      </c>
      <c r="G382" s="22" t="s">
        <v>26</v>
      </c>
      <c r="H382" s="9">
        <v>5000</v>
      </c>
      <c r="I382" s="12">
        <v>1200</v>
      </c>
      <c r="J382" s="12">
        <v>150</v>
      </c>
      <c r="K382" s="12">
        <v>1400</v>
      </c>
      <c r="L382" s="12">
        <v>11517</v>
      </c>
      <c r="M382" s="11">
        <f>L382*4+AI382-AJ382</f>
        <v>46068</v>
      </c>
      <c r="N382" s="13"/>
      <c r="O382" s="12">
        <v>5000</v>
      </c>
      <c r="P382" s="12">
        <v>1200</v>
      </c>
      <c r="Q382" s="12"/>
      <c r="R382" s="11">
        <f>11517+150+350</f>
        <v>12017</v>
      </c>
      <c r="S382" s="12"/>
      <c r="T382" s="12"/>
      <c r="U382" s="12"/>
      <c r="V382" s="12"/>
      <c r="W382" s="12"/>
      <c r="X382" s="12"/>
      <c r="Y382" s="12"/>
      <c r="Z382" s="12"/>
      <c r="AA382" s="12"/>
      <c r="AB382" s="12"/>
      <c r="AC382" s="12"/>
      <c r="AD382" s="12"/>
      <c r="AE382" s="12"/>
      <c r="AF382" s="13">
        <f>H382+I382+J382+K382+M382-N382</f>
        <v>53818</v>
      </c>
      <c r="AG382" s="13">
        <f>SUM(O382:AE382)</f>
        <v>18217</v>
      </c>
      <c r="AH382" s="13">
        <f>AF382-AG382</f>
        <v>35601</v>
      </c>
      <c r="AI382" s="12"/>
      <c r="AJ382" s="12"/>
      <c r="AK382" s="12"/>
    </row>
    <row r="383" spans="1:37">
      <c r="A383" s="10">
        <v>22</v>
      </c>
      <c r="B383" s="11">
        <v>1445</v>
      </c>
      <c r="C383" s="10" t="s">
        <v>412</v>
      </c>
      <c r="D383" s="11" t="s">
        <v>28</v>
      </c>
      <c r="E383" s="11"/>
      <c r="F383" s="10" t="s">
        <v>391</v>
      </c>
      <c r="G383" s="11" t="s">
        <v>26</v>
      </c>
      <c r="H383" s="9"/>
      <c r="I383" s="12"/>
      <c r="J383" s="12">
        <v>150</v>
      </c>
      <c r="K383" s="12">
        <v>1400</v>
      </c>
      <c r="L383" s="12">
        <v>11517</v>
      </c>
      <c r="M383" s="11">
        <f>L383*4+AI383-AJ383</f>
        <v>46068</v>
      </c>
      <c r="N383" s="13"/>
      <c r="O383" s="12"/>
      <c r="P383" s="12"/>
      <c r="Q383" s="12"/>
      <c r="R383" s="12"/>
      <c r="S383" s="12">
        <v>12017</v>
      </c>
      <c r="T383" s="12"/>
      <c r="U383" s="12"/>
      <c r="V383" s="12">
        <v>11867</v>
      </c>
      <c r="W383" s="12"/>
      <c r="X383" s="12"/>
      <c r="Y383" s="12"/>
      <c r="Z383" s="12"/>
      <c r="AA383" s="12"/>
      <c r="AB383" s="12"/>
      <c r="AC383" s="12"/>
      <c r="AD383" s="12"/>
      <c r="AE383" s="12"/>
      <c r="AF383" s="13">
        <f>H383+I383+J383+K383+M383-N383</f>
        <v>47618</v>
      </c>
      <c r="AG383" s="13">
        <f>SUM(O383:AE383)</f>
        <v>23884</v>
      </c>
      <c r="AH383" s="13">
        <f>AF383-AG383</f>
        <v>23734</v>
      </c>
      <c r="AI383" s="12"/>
      <c r="AJ383" s="12"/>
      <c r="AK383" s="12"/>
    </row>
    <row r="384" spans="1:37">
      <c r="A384" s="10">
        <v>23</v>
      </c>
      <c r="B384" s="15">
        <v>1917</v>
      </c>
      <c r="C384" s="14" t="s">
        <v>413</v>
      </c>
      <c r="D384" s="15" t="s">
        <v>23</v>
      </c>
      <c r="E384" s="15"/>
      <c r="F384" s="14" t="s">
        <v>391</v>
      </c>
      <c r="G384" s="15" t="s">
        <v>26</v>
      </c>
      <c r="H384" s="9"/>
      <c r="I384" s="12"/>
      <c r="J384" s="12">
        <v>150</v>
      </c>
      <c r="K384" s="12">
        <v>0</v>
      </c>
      <c r="L384" s="12">
        <v>0</v>
      </c>
      <c r="M384" s="11">
        <f>L384*4+AI384-AJ384</f>
        <v>0</v>
      </c>
      <c r="N384" s="13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  <c r="AA384" s="12"/>
      <c r="AB384" s="12"/>
      <c r="AC384" s="12"/>
      <c r="AD384" s="12"/>
      <c r="AE384" s="12"/>
      <c r="AF384" s="13">
        <f>H384+I384+J384+K384+M384-N384</f>
        <v>150</v>
      </c>
      <c r="AG384" s="13">
        <f>SUM(O384:AE384)</f>
        <v>0</v>
      </c>
      <c r="AH384" s="13">
        <f>AF384-AG384</f>
        <v>150</v>
      </c>
      <c r="AI384" s="12"/>
      <c r="AJ384" s="12"/>
      <c r="AK384" s="12"/>
    </row>
    <row r="385" spans="1:37">
      <c r="A385" s="10">
        <v>24</v>
      </c>
      <c r="B385" s="11">
        <v>1605</v>
      </c>
      <c r="C385" s="10" t="s">
        <v>414</v>
      </c>
      <c r="D385" s="11" t="s">
        <v>23</v>
      </c>
      <c r="E385" s="11"/>
      <c r="F385" s="10" t="s">
        <v>391</v>
      </c>
      <c r="G385" s="11" t="s">
        <v>26</v>
      </c>
      <c r="H385" s="9"/>
      <c r="I385" s="12"/>
      <c r="J385" s="12">
        <v>150</v>
      </c>
      <c r="K385" s="12">
        <v>1400</v>
      </c>
      <c r="L385" s="12">
        <v>11517</v>
      </c>
      <c r="M385" s="11">
        <f>L385*4+AI385-AJ385</f>
        <v>46068</v>
      </c>
      <c r="N385" s="13"/>
      <c r="O385" s="12"/>
      <c r="P385" s="12"/>
      <c r="Q385" s="12"/>
      <c r="R385" s="12"/>
      <c r="S385" s="12"/>
      <c r="T385" s="12">
        <v>12017</v>
      </c>
      <c r="U385" s="12"/>
      <c r="V385" s="12"/>
      <c r="W385" s="12"/>
      <c r="X385" s="12"/>
      <c r="Y385" s="12"/>
      <c r="Z385" s="12"/>
      <c r="AA385" s="12"/>
      <c r="AB385" s="12"/>
      <c r="AC385" s="12"/>
      <c r="AD385" s="12"/>
      <c r="AE385" s="12"/>
      <c r="AF385" s="13">
        <f>H385+I385+J385+K385+M385-N385</f>
        <v>47618</v>
      </c>
      <c r="AG385" s="13">
        <f>SUM(O385:AE385)</f>
        <v>12017</v>
      </c>
      <c r="AH385" s="13">
        <f>AF385-AG385</f>
        <v>35601</v>
      </c>
      <c r="AI385" s="12"/>
      <c r="AJ385" s="12"/>
      <c r="AK385" s="12"/>
    </row>
    <row r="386" spans="1:37">
      <c r="A386" s="10">
        <v>25</v>
      </c>
      <c r="B386" s="27">
        <v>1565</v>
      </c>
      <c r="C386" s="26" t="s">
        <v>415</v>
      </c>
      <c r="D386" s="27" t="s">
        <v>28</v>
      </c>
      <c r="E386" s="27"/>
      <c r="F386" s="26" t="s">
        <v>391</v>
      </c>
      <c r="G386" s="27" t="s">
        <v>26</v>
      </c>
      <c r="H386" s="9"/>
      <c r="I386" s="12"/>
      <c r="J386" s="12">
        <v>150</v>
      </c>
      <c r="K386" s="12">
        <v>1400</v>
      </c>
      <c r="L386" s="12">
        <v>5759</v>
      </c>
      <c r="M386" s="11">
        <f>L386*4+AI386-AJ386</f>
        <v>23036</v>
      </c>
      <c r="N386" s="13"/>
      <c r="O386" s="12"/>
      <c r="P386" s="12"/>
      <c r="Q386" s="12"/>
      <c r="R386" s="12"/>
      <c r="S386" s="12"/>
      <c r="T386" s="12">
        <v>6259</v>
      </c>
      <c r="U386" s="12"/>
      <c r="V386" s="12"/>
      <c r="W386" s="12"/>
      <c r="X386" s="12"/>
      <c r="Y386" s="12"/>
      <c r="Z386" s="12"/>
      <c r="AA386" s="12"/>
      <c r="AB386" s="12"/>
      <c r="AC386" s="12"/>
      <c r="AD386" s="12"/>
      <c r="AE386" s="12"/>
      <c r="AF386" s="13">
        <f>H386+I386+J386+K386+M386-N386</f>
        <v>24586</v>
      </c>
      <c r="AG386" s="13">
        <f>SUM(O386:AE386)</f>
        <v>6259</v>
      </c>
      <c r="AH386" s="13">
        <f>AF386-AG386</f>
        <v>18327</v>
      </c>
      <c r="AI386" s="12"/>
      <c r="AJ386" s="12"/>
      <c r="AK386" s="12"/>
    </row>
    <row r="387" spans="1:37">
      <c r="A387" s="10">
        <v>26</v>
      </c>
      <c r="B387" s="11">
        <v>1431</v>
      </c>
      <c r="C387" s="10" t="s">
        <v>416</v>
      </c>
      <c r="D387" s="11" t="s">
        <v>23</v>
      </c>
      <c r="E387" s="11"/>
      <c r="F387" s="10" t="s">
        <v>391</v>
      </c>
      <c r="G387" s="11" t="s">
        <v>26</v>
      </c>
      <c r="H387" s="9"/>
      <c r="I387" s="12"/>
      <c r="J387" s="12">
        <v>150</v>
      </c>
      <c r="K387" s="12">
        <v>1400</v>
      </c>
      <c r="L387" s="12">
        <v>11517</v>
      </c>
      <c r="M387" s="11">
        <f>L387*4+AI387-AJ387</f>
        <v>46068</v>
      </c>
      <c r="N387" s="13">
        <v>2303</v>
      </c>
      <c r="O387" s="12"/>
      <c r="P387" s="12"/>
      <c r="Q387" s="12"/>
      <c r="R387" s="12"/>
      <c r="S387" s="12"/>
      <c r="T387" s="12">
        <v>45315</v>
      </c>
      <c r="U387" s="12"/>
      <c r="V387" s="12"/>
      <c r="W387" s="12"/>
      <c r="X387" s="12"/>
      <c r="Y387" s="12"/>
      <c r="Z387" s="12"/>
      <c r="AA387" s="12"/>
      <c r="AB387" s="12"/>
      <c r="AC387" s="12"/>
      <c r="AD387" s="12"/>
      <c r="AE387" s="12"/>
      <c r="AF387" s="13">
        <f>H387+I387+J387+K387+M387-N387</f>
        <v>45315</v>
      </c>
      <c r="AG387" s="13">
        <f>SUM(O387:AE387)</f>
        <v>45315</v>
      </c>
      <c r="AH387" s="13">
        <f>AF387-AG387</f>
        <v>0</v>
      </c>
      <c r="AI387" s="12"/>
      <c r="AJ387" s="12"/>
      <c r="AK387" s="12"/>
    </row>
    <row r="388" spans="1:37">
      <c r="A388" s="10">
        <v>27</v>
      </c>
      <c r="B388" s="11">
        <v>1401</v>
      </c>
      <c r="C388" s="10" t="s">
        <v>417</v>
      </c>
      <c r="D388" s="11" t="s">
        <v>28</v>
      </c>
      <c r="E388" s="11"/>
      <c r="F388" s="10" t="s">
        <v>391</v>
      </c>
      <c r="G388" s="11" t="s">
        <v>26</v>
      </c>
      <c r="H388" s="9"/>
      <c r="I388" s="12"/>
      <c r="J388" s="12">
        <v>150</v>
      </c>
      <c r="K388" s="12">
        <v>1400</v>
      </c>
      <c r="L388" s="12">
        <v>11517</v>
      </c>
      <c r="M388" s="11">
        <f>L388*4+AI388-AJ388</f>
        <v>46068</v>
      </c>
      <c r="N388" s="13"/>
      <c r="O388" s="12"/>
      <c r="P388" s="12"/>
      <c r="Q388" s="12"/>
      <c r="R388" s="12"/>
      <c r="S388" s="12"/>
      <c r="T388" s="12">
        <v>12017</v>
      </c>
      <c r="U388" s="12"/>
      <c r="V388" s="12">
        <v>11867</v>
      </c>
      <c r="W388" s="12"/>
      <c r="X388" s="12"/>
      <c r="Y388" s="12"/>
      <c r="Z388" s="12"/>
      <c r="AA388" s="12"/>
      <c r="AB388" s="12"/>
      <c r="AC388" s="12"/>
      <c r="AD388" s="12"/>
      <c r="AE388" s="12"/>
      <c r="AF388" s="13">
        <f>H388+I388+J388+K388+M388-N388</f>
        <v>47618</v>
      </c>
      <c r="AG388" s="13">
        <f>SUM(O388:AE388)</f>
        <v>23884</v>
      </c>
      <c r="AH388" s="13">
        <f>AF388-AG388</f>
        <v>23734</v>
      </c>
      <c r="AI388" s="12"/>
      <c r="AJ388" s="12"/>
      <c r="AK388" s="12"/>
    </row>
    <row r="389" spans="1:37">
      <c r="A389" s="10">
        <v>28</v>
      </c>
      <c r="B389" s="11">
        <v>1411</v>
      </c>
      <c r="C389" s="10" t="s">
        <v>418</v>
      </c>
      <c r="D389" s="11" t="s">
        <v>28</v>
      </c>
      <c r="E389" s="11"/>
      <c r="F389" s="10" t="s">
        <v>391</v>
      </c>
      <c r="G389" s="11" t="s">
        <v>26</v>
      </c>
      <c r="H389" s="9"/>
      <c r="I389" s="12"/>
      <c r="J389" s="12">
        <v>150</v>
      </c>
      <c r="K389" s="12">
        <v>1400</v>
      </c>
      <c r="L389" s="12">
        <v>11517</v>
      </c>
      <c r="M389" s="11">
        <f>L389*4+AI389-AJ389</f>
        <v>46068</v>
      </c>
      <c r="N389" s="13"/>
      <c r="O389" s="12"/>
      <c r="P389" s="12"/>
      <c r="Q389" s="12"/>
      <c r="R389" s="12"/>
      <c r="S389" s="12"/>
      <c r="T389" s="12">
        <v>12017</v>
      </c>
      <c r="U389" s="12"/>
      <c r="V389" s="12"/>
      <c r="W389" s="12"/>
      <c r="X389" s="12"/>
      <c r="Y389" s="12"/>
      <c r="Z389" s="12"/>
      <c r="AA389" s="12"/>
      <c r="AB389" s="12"/>
      <c r="AC389" s="12"/>
      <c r="AD389" s="12"/>
      <c r="AE389" s="12"/>
      <c r="AF389" s="13">
        <f>H389+I389+J389+K389+M389-N389</f>
        <v>47618</v>
      </c>
      <c r="AG389" s="13">
        <f>SUM(O389:AE389)</f>
        <v>12017</v>
      </c>
      <c r="AH389" s="13">
        <f>AF389-AG389</f>
        <v>35601</v>
      </c>
      <c r="AI389" s="12"/>
      <c r="AJ389" s="12"/>
      <c r="AK389" s="12"/>
    </row>
    <row r="390" spans="1:37">
      <c r="A390" s="10">
        <v>29</v>
      </c>
      <c r="B390" s="11">
        <v>1540</v>
      </c>
      <c r="C390" s="10" t="s">
        <v>419</v>
      </c>
      <c r="D390" s="11" t="s">
        <v>28</v>
      </c>
      <c r="E390" s="11"/>
      <c r="F390" s="10" t="s">
        <v>391</v>
      </c>
      <c r="G390" s="11" t="s">
        <v>26</v>
      </c>
      <c r="H390" s="9"/>
      <c r="I390" s="12"/>
      <c r="J390" s="12">
        <v>150</v>
      </c>
      <c r="K390" s="12">
        <v>1400</v>
      </c>
      <c r="L390" s="12">
        <v>11517</v>
      </c>
      <c r="M390" s="11">
        <f>L390*4+AI390-AJ390</f>
        <v>46068</v>
      </c>
      <c r="N390" s="13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  <c r="AA390" s="12"/>
      <c r="AB390" s="12"/>
      <c r="AC390" s="12"/>
      <c r="AD390" s="12"/>
      <c r="AE390" s="12"/>
      <c r="AF390" s="13">
        <f>H390+I390+J390+K390+M390-N390</f>
        <v>47618</v>
      </c>
      <c r="AG390" s="13">
        <f>SUM(O390:AE390)</f>
        <v>0</v>
      </c>
      <c r="AH390" s="13">
        <f>AF390-AG390</f>
        <v>47618</v>
      </c>
      <c r="AI390" s="12"/>
      <c r="AJ390" s="12"/>
      <c r="AK390" s="12"/>
    </row>
    <row r="391" spans="1:37">
      <c r="A391" s="10">
        <v>30</v>
      </c>
      <c r="B391" s="11">
        <v>1501</v>
      </c>
      <c r="C391" s="10" t="s">
        <v>420</v>
      </c>
      <c r="D391" s="11" t="s">
        <v>23</v>
      </c>
      <c r="E391" s="11"/>
      <c r="F391" s="10" t="s">
        <v>391</v>
      </c>
      <c r="G391" s="11" t="s">
        <v>26</v>
      </c>
      <c r="H391" s="9"/>
      <c r="I391" s="12"/>
      <c r="J391" s="12">
        <v>150</v>
      </c>
      <c r="K391" s="12">
        <v>1400</v>
      </c>
      <c r="L391" s="12">
        <v>11517</v>
      </c>
      <c r="M391" s="11">
        <f>L391*4+AI391-AJ391</f>
        <v>46068</v>
      </c>
      <c r="N391" s="13">
        <v>2303</v>
      </c>
      <c r="O391" s="12"/>
      <c r="P391" s="12"/>
      <c r="Q391" s="12"/>
      <c r="R391" s="12"/>
      <c r="S391" s="11">
        <f>35315+10000</f>
        <v>45315</v>
      </c>
      <c r="T391" s="12"/>
      <c r="U391" s="12"/>
      <c r="V391" s="12"/>
      <c r="W391" s="12"/>
      <c r="X391" s="12"/>
      <c r="Y391" s="12"/>
      <c r="Z391" s="12"/>
      <c r="AA391" s="12"/>
      <c r="AB391" s="12"/>
      <c r="AC391" s="12"/>
      <c r="AD391" s="12"/>
      <c r="AE391" s="12"/>
      <c r="AF391" s="13">
        <f>H391+I391+J391+K391+M391-N391</f>
        <v>45315</v>
      </c>
      <c r="AG391" s="13">
        <f>SUM(O391:AE391)</f>
        <v>45315</v>
      </c>
      <c r="AH391" s="13">
        <f>AF391-AG391</f>
        <v>0</v>
      </c>
      <c r="AI391" s="12"/>
      <c r="AJ391" s="12"/>
      <c r="AK391" s="12"/>
    </row>
    <row r="392" spans="1:37">
      <c r="A392" s="10">
        <v>31</v>
      </c>
      <c r="B392" s="15">
        <v>1951</v>
      </c>
      <c r="C392" s="14" t="s">
        <v>421</v>
      </c>
      <c r="D392" s="15" t="s">
        <v>28</v>
      </c>
      <c r="E392" s="15"/>
      <c r="F392" s="14" t="s">
        <v>391</v>
      </c>
      <c r="G392" s="15" t="s">
        <v>26</v>
      </c>
      <c r="H392" s="9"/>
      <c r="I392" s="12"/>
      <c r="J392" s="12">
        <v>150</v>
      </c>
      <c r="K392" s="12">
        <v>0</v>
      </c>
      <c r="L392" s="12">
        <v>0</v>
      </c>
      <c r="M392" s="11">
        <f>L392*4+AI392-AJ392</f>
        <v>0</v>
      </c>
      <c r="N392" s="13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  <c r="AA392" s="12"/>
      <c r="AB392" s="12"/>
      <c r="AC392" s="12"/>
      <c r="AD392" s="12"/>
      <c r="AE392" s="12"/>
      <c r="AF392" s="13">
        <f>H392+I392+J392+K392+M392-N392</f>
        <v>150</v>
      </c>
      <c r="AG392" s="13">
        <f>SUM(O392:AE392)</f>
        <v>0</v>
      </c>
      <c r="AH392" s="13">
        <f>AF392-AG392</f>
        <v>150</v>
      </c>
      <c r="AI392" s="12"/>
      <c r="AJ392" s="12"/>
      <c r="AK392" s="12"/>
    </row>
    <row r="393" spans="1:37">
      <c r="A393" s="10">
        <v>32</v>
      </c>
      <c r="B393" s="15">
        <v>1920</v>
      </c>
      <c r="C393" s="14" t="s">
        <v>422</v>
      </c>
      <c r="D393" s="15" t="s">
        <v>28</v>
      </c>
      <c r="E393" s="15"/>
      <c r="F393" s="14" t="s">
        <v>391</v>
      </c>
      <c r="G393" s="15" t="s">
        <v>26</v>
      </c>
      <c r="H393" s="9"/>
      <c r="I393" s="12"/>
      <c r="J393" s="12">
        <v>150</v>
      </c>
      <c r="K393" s="12">
        <v>0</v>
      </c>
      <c r="L393" s="12">
        <v>0</v>
      </c>
      <c r="M393" s="11">
        <f>L393*4+AI393-AJ393</f>
        <v>0</v>
      </c>
      <c r="N393" s="13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  <c r="AA393" s="12"/>
      <c r="AB393" s="12"/>
      <c r="AC393" s="12"/>
      <c r="AD393" s="12"/>
      <c r="AE393" s="12"/>
      <c r="AF393" s="13">
        <f>H393+I393+J393+K393+M393-N393</f>
        <v>150</v>
      </c>
      <c r="AG393" s="13">
        <f>SUM(O393:AE393)</f>
        <v>0</v>
      </c>
      <c r="AH393" s="13">
        <f>AF393-AG393</f>
        <v>150</v>
      </c>
      <c r="AI393" s="12"/>
      <c r="AJ393" s="12"/>
      <c r="AK393" s="12"/>
    </row>
    <row r="394" spans="1:37">
      <c r="A394" s="10">
        <v>33</v>
      </c>
      <c r="B394" s="11">
        <v>1414</v>
      </c>
      <c r="C394" s="10" t="s">
        <v>423</v>
      </c>
      <c r="D394" s="11" t="s">
        <v>23</v>
      </c>
      <c r="E394" s="11"/>
      <c r="F394" s="10" t="s">
        <v>391</v>
      </c>
      <c r="G394" s="11" t="s">
        <v>26</v>
      </c>
      <c r="H394" s="9"/>
      <c r="I394" s="12"/>
      <c r="J394" s="12">
        <v>150</v>
      </c>
      <c r="K394" s="12">
        <v>1400</v>
      </c>
      <c r="L394" s="12">
        <v>11517</v>
      </c>
      <c r="M394" s="11">
        <f>L394*4+AI394-AJ394</f>
        <v>46068</v>
      </c>
      <c r="N394" s="13"/>
      <c r="O394" s="12"/>
      <c r="P394" s="12"/>
      <c r="Q394" s="12"/>
      <c r="R394" s="12"/>
      <c r="S394" s="12"/>
      <c r="T394" s="12"/>
      <c r="U394" s="12"/>
      <c r="V394" s="12">
        <v>11867</v>
      </c>
      <c r="W394" s="12"/>
      <c r="X394" s="12"/>
      <c r="Y394" s="12"/>
      <c r="Z394" s="12"/>
      <c r="AA394" s="12"/>
      <c r="AB394" s="12"/>
      <c r="AC394" s="12"/>
      <c r="AD394" s="12"/>
      <c r="AE394" s="12"/>
      <c r="AF394" s="13">
        <f>H394+I394+J394+K394+M394-N394</f>
        <v>47618</v>
      </c>
      <c r="AG394" s="13">
        <f>SUM(O394:AE394)</f>
        <v>11867</v>
      </c>
      <c r="AH394" s="13">
        <f>AF394-AG394</f>
        <v>35751</v>
      </c>
      <c r="AI394" s="12"/>
      <c r="AJ394" s="12"/>
      <c r="AK394" s="12"/>
    </row>
    <row r="395" spans="1:37">
      <c r="A395" s="10">
        <v>34</v>
      </c>
      <c r="B395" s="11">
        <v>2135</v>
      </c>
      <c r="C395" s="10" t="s">
        <v>424</v>
      </c>
      <c r="D395" s="11" t="s">
        <v>28</v>
      </c>
      <c r="E395" s="11"/>
      <c r="F395" s="10" t="s">
        <v>391</v>
      </c>
      <c r="G395" s="11" t="s">
        <v>26</v>
      </c>
      <c r="H395" s="9"/>
      <c r="I395" s="12"/>
      <c r="J395" s="12">
        <v>150</v>
      </c>
      <c r="K395" s="12">
        <v>1400</v>
      </c>
      <c r="L395" s="12">
        <v>11517</v>
      </c>
      <c r="M395" s="11">
        <f>L395*4+AI395-AJ395</f>
        <v>57008</v>
      </c>
      <c r="N395" s="13"/>
      <c r="O395" s="12"/>
      <c r="P395" s="12"/>
      <c r="Q395" s="12"/>
      <c r="R395" s="12"/>
      <c r="S395" s="12"/>
      <c r="T395" s="12"/>
      <c r="U395" s="12"/>
      <c r="V395" s="12">
        <v>10940</v>
      </c>
      <c r="W395" s="12"/>
      <c r="X395" s="12"/>
      <c r="Y395" s="12"/>
      <c r="Z395" s="12"/>
      <c r="AA395" s="12"/>
      <c r="AB395" s="12"/>
      <c r="AC395" s="12"/>
      <c r="AD395" s="12"/>
      <c r="AE395" s="12"/>
      <c r="AF395" s="13">
        <f>H395+I395+J395+K395+M395-N395</f>
        <v>58558</v>
      </c>
      <c r="AG395" s="13">
        <f>SUM(O395:AE395)</f>
        <v>10940</v>
      </c>
      <c r="AH395" s="13">
        <f>AF395-AG395</f>
        <v>47618</v>
      </c>
      <c r="AI395" s="12">
        <v>10940</v>
      </c>
      <c r="AJ395" s="12"/>
      <c r="AK395" s="12"/>
    </row>
    <row r="396" spans="1:37">
      <c r="A396" s="10">
        <v>35</v>
      </c>
      <c r="B396" s="11">
        <v>1579</v>
      </c>
      <c r="C396" s="10" t="s">
        <v>425</v>
      </c>
      <c r="D396" s="11" t="s">
        <v>23</v>
      </c>
      <c r="E396" s="11"/>
      <c r="F396" s="10" t="s">
        <v>391</v>
      </c>
      <c r="G396" s="11" t="s">
        <v>26</v>
      </c>
      <c r="H396" s="9"/>
      <c r="I396" s="12"/>
      <c r="J396" s="12">
        <v>150</v>
      </c>
      <c r="K396" s="12">
        <v>1400</v>
      </c>
      <c r="L396" s="12">
        <v>11517</v>
      </c>
      <c r="M396" s="11">
        <f>L396*4+AI396-AJ396</f>
        <v>46068</v>
      </c>
      <c r="N396" s="13"/>
      <c r="O396" s="12"/>
      <c r="P396" s="12"/>
      <c r="Q396" s="12"/>
      <c r="R396" s="12"/>
      <c r="S396" s="12">
        <v>12017</v>
      </c>
      <c r="T396" s="12"/>
      <c r="U396" s="12"/>
      <c r="V396" s="12">
        <v>11867</v>
      </c>
      <c r="W396" s="12"/>
      <c r="X396" s="12"/>
      <c r="Y396" s="12"/>
      <c r="Z396" s="12"/>
      <c r="AA396" s="12"/>
      <c r="AB396" s="12"/>
      <c r="AC396" s="12"/>
      <c r="AD396" s="12"/>
      <c r="AE396" s="12"/>
      <c r="AF396" s="13">
        <f>H396+I396+J396+K396+M396-N396</f>
        <v>47618</v>
      </c>
      <c r="AG396" s="13">
        <f>SUM(O396:AE396)</f>
        <v>23884</v>
      </c>
      <c r="AH396" s="13">
        <f>AF396-AG396</f>
        <v>23734</v>
      </c>
      <c r="AI396" s="12"/>
      <c r="AJ396" s="12"/>
      <c r="AK396" s="12"/>
    </row>
    <row r="397" spans="1:37">
      <c r="A397" s="10">
        <v>36</v>
      </c>
      <c r="B397" s="11">
        <v>1537</v>
      </c>
      <c r="C397" s="10" t="s">
        <v>426</v>
      </c>
      <c r="D397" s="11" t="s">
        <v>23</v>
      </c>
      <c r="E397" s="11"/>
      <c r="F397" s="10" t="s">
        <v>391</v>
      </c>
      <c r="G397" s="11" t="s">
        <v>26</v>
      </c>
      <c r="H397" s="9"/>
      <c r="I397" s="12"/>
      <c r="J397" s="12">
        <v>150</v>
      </c>
      <c r="K397" s="12">
        <v>1400</v>
      </c>
      <c r="L397" s="12">
        <v>11517</v>
      </c>
      <c r="M397" s="11">
        <f>L397*4+AI397-AJ397</f>
        <v>46068</v>
      </c>
      <c r="N397" s="13"/>
      <c r="O397" s="12"/>
      <c r="P397" s="12"/>
      <c r="Q397" s="12"/>
      <c r="R397" s="12"/>
      <c r="S397" s="12"/>
      <c r="T397" s="12">
        <v>12017</v>
      </c>
      <c r="U397" s="12"/>
      <c r="V397" s="12"/>
      <c r="W397" s="12"/>
      <c r="X397" s="12"/>
      <c r="Y397" s="12"/>
      <c r="Z397" s="12"/>
      <c r="AA397" s="12"/>
      <c r="AB397" s="12"/>
      <c r="AC397" s="12"/>
      <c r="AD397" s="12"/>
      <c r="AE397" s="12"/>
      <c r="AF397" s="13">
        <f>H397+I397+J397+K397+M397-N397</f>
        <v>47618</v>
      </c>
      <c r="AG397" s="13">
        <f>SUM(O397:AE397)</f>
        <v>12017</v>
      </c>
      <c r="AH397" s="13">
        <f>AF397-AG397</f>
        <v>35601</v>
      </c>
      <c r="AI397" s="12"/>
      <c r="AJ397" s="12"/>
      <c r="AK397" s="12"/>
    </row>
    <row r="398" spans="1:37">
      <c r="A398" s="10">
        <v>37</v>
      </c>
      <c r="B398" s="11">
        <v>1284</v>
      </c>
      <c r="C398" s="10" t="s">
        <v>427</v>
      </c>
      <c r="D398" s="11" t="s">
        <v>28</v>
      </c>
      <c r="E398" s="11"/>
      <c r="F398" s="10" t="s">
        <v>391</v>
      </c>
      <c r="G398" s="11" t="s">
        <v>26</v>
      </c>
      <c r="H398" s="9"/>
      <c r="I398" s="12"/>
      <c r="J398" s="12">
        <v>150</v>
      </c>
      <c r="K398" s="12">
        <v>1400</v>
      </c>
      <c r="L398" s="12">
        <v>11517</v>
      </c>
      <c r="M398" s="11">
        <f>L398*4+AI398-AJ398</f>
        <v>46068</v>
      </c>
      <c r="N398" s="13"/>
      <c r="O398" s="12"/>
      <c r="P398" s="12"/>
      <c r="Q398" s="12"/>
      <c r="R398" s="12"/>
      <c r="S398" s="12"/>
      <c r="T398" s="12">
        <v>12017</v>
      </c>
      <c r="U398" s="12"/>
      <c r="V398" s="12">
        <v>11867</v>
      </c>
      <c r="W398" s="12"/>
      <c r="X398" s="12"/>
      <c r="Y398" s="12"/>
      <c r="Z398" s="12"/>
      <c r="AA398" s="12"/>
      <c r="AB398" s="12"/>
      <c r="AC398" s="12"/>
      <c r="AD398" s="12"/>
      <c r="AE398" s="12"/>
      <c r="AF398" s="13">
        <f>H398+I398+J398+K398+M398-N398</f>
        <v>47618</v>
      </c>
      <c r="AG398" s="13">
        <f>SUM(O398:AE398)</f>
        <v>23884</v>
      </c>
      <c r="AH398" s="13">
        <f>AF398-AG398</f>
        <v>23734</v>
      </c>
      <c r="AI398" s="12"/>
      <c r="AJ398" s="12"/>
      <c r="AK398" s="12"/>
    </row>
    <row r="399" spans="1:37">
      <c r="A399" s="10">
        <v>38</v>
      </c>
      <c r="B399" s="10">
        <v>1809</v>
      </c>
      <c r="C399" s="10" t="s">
        <v>428</v>
      </c>
      <c r="D399" s="11" t="s">
        <v>23</v>
      </c>
      <c r="E399" s="11"/>
      <c r="F399" s="10" t="s">
        <v>391</v>
      </c>
      <c r="G399" s="11" t="s">
        <v>26</v>
      </c>
      <c r="H399" s="12"/>
      <c r="I399" s="12"/>
      <c r="J399" s="12">
        <v>150</v>
      </c>
      <c r="K399" s="12">
        <v>1400</v>
      </c>
      <c r="L399" s="12">
        <v>11517</v>
      </c>
      <c r="M399" s="11">
        <f>L399*4+AI399-AJ399</f>
        <v>46068</v>
      </c>
      <c r="N399" s="13"/>
      <c r="O399" s="12"/>
      <c r="P399" s="12"/>
      <c r="Q399" s="12"/>
      <c r="R399" s="12"/>
      <c r="S399" s="12">
        <v>12017</v>
      </c>
      <c r="T399" s="12"/>
      <c r="U399" s="12"/>
      <c r="V399" s="12">
        <v>11867</v>
      </c>
      <c r="W399" s="12"/>
      <c r="X399" s="12"/>
      <c r="Y399" s="12"/>
      <c r="Z399" s="12"/>
      <c r="AA399" s="12"/>
      <c r="AB399" s="12"/>
      <c r="AC399" s="12"/>
      <c r="AD399" s="12"/>
      <c r="AE399" s="12"/>
      <c r="AF399" s="13">
        <f>H399+I399+J399+K399+M399-N399</f>
        <v>47618</v>
      </c>
      <c r="AG399" s="13">
        <f>SUM(O399:AE399)</f>
        <v>23884</v>
      </c>
      <c r="AH399" s="13">
        <f>AF399-AG399</f>
        <v>23734</v>
      </c>
      <c r="AI399" s="12"/>
      <c r="AJ399" s="12"/>
      <c r="AK399" s="12"/>
    </row>
    <row r="400" spans="1:37">
      <c r="A400" s="16">
        <v>1</v>
      </c>
      <c r="B400" s="16">
        <v>1800</v>
      </c>
      <c r="C400" s="16" t="s">
        <v>429</v>
      </c>
      <c r="D400" s="12" t="s">
        <v>23</v>
      </c>
      <c r="E400" s="12"/>
      <c r="F400" s="10" t="s">
        <v>391</v>
      </c>
      <c r="G400" s="12" t="s">
        <v>62</v>
      </c>
      <c r="H400" s="12"/>
      <c r="I400" s="12"/>
      <c r="J400" s="12">
        <v>150</v>
      </c>
      <c r="K400" s="12">
        <v>1400</v>
      </c>
      <c r="L400" s="12">
        <v>11517</v>
      </c>
      <c r="M400" s="11">
        <f>L400*4+AI400-AJ400</f>
        <v>46068</v>
      </c>
      <c r="N400" s="13"/>
      <c r="O400" s="12"/>
      <c r="P400" s="12"/>
      <c r="Q400" s="12"/>
      <c r="R400" s="12"/>
      <c r="S400" s="12">
        <v>12017</v>
      </c>
      <c r="T400" s="12"/>
      <c r="U400" s="12"/>
      <c r="V400" s="12">
        <v>11867</v>
      </c>
      <c r="W400" s="12"/>
      <c r="X400" s="12"/>
      <c r="Y400" s="12"/>
      <c r="Z400" s="12"/>
      <c r="AA400" s="12"/>
      <c r="AB400" s="12"/>
      <c r="AC400" s="12"/>
      <c r="AD400" s="12"/>
      <c r="AE400" s="12"/>
      <c r="AF400" s="13">
        <f>H400+I400+J400+K400+M400-N400</f>
        <v>47618</v>
      </c>
      <c r="AG400" s="13">
        <f>SUM(O400:AE400)</f>
        <v>23884</v>
      </c>
      <c r="AH400" s="13">
        <f>AF400-AG400</f>
        <v>23734</v>
      </c>
      <c r="AI400" s="12"/>
      <c r="AJ400" s="12"/>
      <c r="AK400" s="12"/>
    </row>
    <row r="401" spans="1:37" customHeight="1" ht="25.5">
      <c r="A401" s="16">
        <v>2</v>
      </c>
      <c r="B401" s="30">
        <v>1283</v>
      </c>
      <c r="C401" s="31" t="s">
        <v>430</v>
      </c>
      <c r="D401" s="30" t="s">
        <v>28</v>
      </c>
      <c r="E401" s="30"/>
      <c r="F401" s="32" t="s">
        <v>391</v>
      </c>
      <c r="G401" s="30" t="s">
        <v>62</v>
      </c>
      <c r="H401" s="12"/>
      <c r="I401" s="12"/>
      <c r="J401" s="12">
        <v>150</v>
      </c>
      <c r="K401" s="12">
        <v>0</v>
      </c>
      <c r="L401" s="12">
        <v>0</v>
      </c>
      <c r="M401" s="11">
        <f>L401*4+AI401-AJ401</f>
        <v>0</v>
      </c>
      <c r="N401" s="13"/>
      <c r="O401" s="12"/>
      <c r="P401" s="12"/>
      <c r="Q401" s="12"/>
      <c r="R401" s="12"/>
      <c r="S401" s="12"/>
      <c r="T401" s="12">
        <v>150</v>
      </c>
      <c r="U401" s="12"/>
      <c r="V401" s="12"/>
      <c r="W401" s="12"/>
      <c r="X401" s="12"/>
      <c r="Y401" s="12"/>
      <c r="Z401" s="12"/>
      <c r="AA401" s="12"/>
      <c r="AB401" s="12"/>
      <c r="AC401" s="12"/>
      <c r="AD401" s="12"/>
      <c r="AE401" s="12"/>
      <c r="AF401" s="13">
        <f>H401+I401+J401+K401+M401-N401</f>
        <v>150</v>
      </c>
      <c r="AG401" s="13">
        <f>SUM(O401:AE401)</f>
        <v>150</v>
      </c>
      <c r="AH401" s="13">
        <f>AF401-AG401</f>
        <v>0</v>
      </c>
      <c r="AI401" s="12"/>
      <c r="AJ401" s="12"/>
      <c r="AK401" s="12"/>
    </row>
    <row r="402" spans="1:37">
      <c r="A402" s="16">
        <v>3</v>
      </c>
      <c r="B402" s="12">
        <v>1418</v>
      </c>
      <c r="C402" s="16" t="s">
        <v>431</v>
      </c>
      <c r="D402" s="12" t="s">
        <v>28</v>
      </c>
      <c r="E402" s="12"/>
      <c r="F402" s="10" t="s">
        <v>391</v>
      </c>
      <c r="G402" s="12" t="s">
        <v>62</v>
      </c>
      <c r="H402" s="12"/>
      <c r="I402" s="12"/>
      <c r="J402" s="12">
        <v>150</v>
      </c>
      <c r="K402" s="12">
        <v>1400</v>
      </c>
      <c r="L402" s="12">
        <v>11517</v>
      </c>
      <c r="M402" s="11">
        <f>L402*4+AI402-AJ402</f>
        <v>46068</v>
      </c>
      <c r="N402" s="13">
        <v>2303</v>
      </c>
      <c r="O402" s="12"/>
      <c r="P402" s="12"/>
      <c r="Q402" s="12"/>
      <c r="R402" s="12"/>
      <c r="S402" s="12"/>
      <c r="T402" s="12">
        <v>45315</v>
      </c>
      <c r="U402" s="12"/>
      <c r="V402" s="12"/>
      <c r="W402" s="12"/>
      <c r="X402" s="12"/>
      <c r="Y402" s="12"/>
      <c r="Z402" s="12"/>
      <c r="AA402" s="12"/>
      <c r="AB402" s="12"/>
      <c r="AC402" s="12"/>
      <c r="AD402" s="12"/>
      <c r="AE402" s="12"/>
      <c r="AF402" s="13">
        <f>H402+I402+J402+K402+M402-N402</f>
        <v>45315</v>
      </c>
      <c r="AG402" s="13">
        <f>SUM(O402:AE402)</f>
        <v>45315</v>
      </c>
      <c r="AH402" s="13">
        <f>AF402-AG402</f>
        <v>0</v>
      </c>
      <c r="AI402" s="12"/>
      <c r="AJ402" s="12"/>
      <c r="AK402" s="12"/>
    </row>
    <row r="403" spans="1:37">
      <c r="A403" s="16">
        <v>4</v>
      </c>
      <c r="B403" s="12">
        <v>1484</v>
      </c>
      <c r="C403" s="16" t="s">
        <v>432</v>
      </c>
      <c r="D403" s="12" t="s">
        <v>28</v>
      </c>
      <c r="E403" s="12"/>
      <c r="F403" s="10" t="s">
        <v>391</v>
      </c>
      <c r="G403" s="12" t="s">
        <v>62</v>
      </c>
      <c r="H403" s="12"/>
      <c r="I403" s="12"/>
      <c r="J403" s="12">
        <v>150</v>
      </c>
      <c r="K403" s="12">
        <v>1400</v>
      </c>
      <c r="L403" s="12">
        <v>11517</v>
      </c>
      <c r="M403" s="11">
        <f>L403*4+AI403-AJ403</f>
        <v>46068</v>
      </c>
      <c r="N403" s="13"/>
      <c r="O403" s="12"/>
      <c r="P403" s="12"/>
      <c r="Q403" s="12"/>
      <c r="R403" s="12"/>
      <c r="S403" s="12"/>
      <c r="T403" s="12"/>
      <c r="U403" s="12">
        <v>12017</v>
      </c>
      <c r="V403" s="12"/>
      <c r="W403" s="12"/>
      <c r="X403" s="12"/>
      <c r="Y403" s="12"/>
      <c r="Z403" s="12"/>
      <c r="AA403" s="12"/>
      <c r="AB403" s="12"/>
      <c r="AC403" s="12"/>
      <c r="AD403" s="12"/>
      <c r="AE403" s="12"/>
      <c r="AF403" s="13">
        <f>H403+I403+J403+K403+M403-N403</f>
        <v>47618</v>
      </c>
      <c r="AG403" s="13">
        <f>SUM(O403:AE403)</f>
        <v>12017</v>
      </c>
      <c r="AH403" s="13">
        <f>AF403-AG403</f>
        <v>35601</v>
      </c>
      <c r="AI403" s="12"/>
      <c r="AJ403" s="12"/>
      <c r="AK403" s="12"/>
    </row>
    <row r="404" spans="1:37">
      <c r="A404" s="16">
        <v>5</v>
      </c>
      <c r="B404" s="12">
        <v>1947</v>
      </c>
      <c r="C404" s="16" t="s">
        <v>433</v>
      </c>
      <c r="D404" s="12" t="s">
        <v>23</v>
      </c>
      <c r="E404" s="12"/>
      <c r="F404" s="10" t="s">
        <v>391</v>
      </c>
      <c r="G404" s="12" t="s">
        <v>62</v>
      </c>
      <c r="H404" s="12"/>
      <c r="I404" s="12"/>
      <c r="J404" s="12">
        <v>150</v>
      </c>
      <c r="K404" s="12">
        <v>1400</v>
      </c>
      <c r="L404" s="12">
        <v>11517</v>
      </c>
      <c r="M404" s="11">
        <f>L404*4+AI404-AJ404</f>
        <v>46068</v>
      </c>
      <c r="N404" s="13"/>
      <c r="O404" s="12"/>
      <c r="P404" s="12"/>
      <c r="Q404" s="12"/>
      <c r="R404" s="12"/>
      <c r="S404" s="12"/>
      <c r="T404" s="12">
        <v>12017</v>
      </c>
      <c r="U404" s="12"/>
      <c r="V404" s="12"/>
      <c r="W404" s="12"/>
      <c r="X404" s="12"/>
      <c r="Y404" s="12"/>
      <c r="Z404" s="12"/>
      <c r="AA404" s="12"/>
      <c r="AB404" s="12"/>
      <c r="AC404" s="12"/>
      <c r="AD404" s="12"/>
      <c r="AE404" s="12"/>
      <c r="AF404" s="13">
        <f>H404+I404+J404+K404+M404-N404</f>
        <v>47618</v>
      </c>
      <c r="AG404" s="13">
        <f>SUM(O404:AE404)</f>
        <v>12017</v>
      </c>
      <c r="AH404" s="13">
        <f>AF404-AG404</f>
        <v>35601</v>
      </c>
      <c r="AI404" s="12"/>
      <c r="AJ404" s="12"/>
      <c r="AK404" s="12"/>
    </row>
    <row r="405" spans="1:37">
      <c r="A405" s="16">
        <v>6</v>
      </c>
      <c r="B405" s="17">
        <v>1762</v>
      </c>
      <c r="C405" s="17" t="s">
        <v>434</v>
      </c>
      <c r="D405" s="18" t="s">
        <v>23</v>
      </c>
      <c r="E405" s="18"/>
      <c r="F405" s="14" t="s">
        <v>391</v>
      </c>
      <c r="G405" s="18" t="s">
        <v>62</v>
      </c>
      <c r="H405" s="9"/>
      <c r="I405" s="12"/>
      <c r="J405" s="12">
        <v>150</v>
      </c>
      <c r="K405" s="12">
        <v>0</v>
      </c>
      <c r="L405" s="12">
        <v>0</v>
      </c>
      <c r="M405" s="11">
        <f>L405*4+AI405-AJ405</f>
        <v>0</v>
      </c>
      <c r="N405" s="13"/>
      <c r="O405" s="12"/>
      <c r="P405" s="12"/>
      <c r="Q405" s="12"/>
      <c r="R405" s="12"/>
      <c r="S405" s="12"/>
      <c r="T405" s="12">
        <v>150</v>
      </c>
      <c r="U405" s="12"/>
      <c r="V405" s="12"/>
      <c r="W405" s="12"/>
      <c r="X405" s="12"/>
      <c r="Y405" s="12"/>
      <c r="Z405" s="12"/>
      <c r="AA405" s="12"/>
      <c r="AB405" s="12"/>
      <c r="AC405" s="12"/>
      <c r="AD405" s="12"/>
      <c r="AE405" s="12"/>
      <c r="AF405" s="13">
        <f>H405+I405+J405+K405+M405-N405</f>
        <v>150</v>
      </c>
      <c r="AG405" s="13">
        <f>SUM(O405:AE405)</f>
        <v>150</v>
      </c>
      <c r="AH405" s="13">
        <f>AF405-AG405</f>
        <v>0</v>
      </c>
      <c r="AI405" s="12"/>
      <c r="AJ405" s="12"/>
      <c r="AK405" s="12"/>
    </row>
    <row r="406" spans="1:37">
      <c r="A406" s="16">
        <v>7</v>
      </c>
      <c r="B406" s="12">
        <v>1495</v>
      </c>
      <c r="C406" s="16" t="s">
        <v>435</v>
      </c>
      <c r="D406" s="12" t="s">
        <v>28</v>
      </c>
      <c r="E406" s="12"/>
      <c r="F406" s="10" t="s">
        <v>391</v>
      </c>
      <c r="G406" s="12" t="s">
        <v>62</v>
      </c>
      <c r="H406" s="12"/>
      <c r="I406" s="12"/>
      <c r="J406" s="12">
        <v>150</v>
      </c>
      <c r="K406" s="12">
        <v>1400</v>
      </c>
      <c r="L406" s="12">
        <v>11517</v>
      </c>
      <c r="M406" s="11">
        <f>L406*4+AI406-AJ406</f>
        <v>46068</v>
      </c>
      <c r="N406" s="13"/>
      <c r="O406" s="12"/>
      <c r="P406" s="12"/>
      <c r="Q406" s="12"/>
      <c r="R406" s="12"/>
      <c r="S406" s="12"/>
      <c r="T406" s="12"/>
      <c r="U406" s="11">
        <f>2000+6000+4017</f>
        <v>12017</v>
      </c>
      <c r="V406" s="12"/>
      <c r="W406" s="12"/>
      <c r="X406" s="12"/>
      <c r="Y406" s="12"/>
      <c r="Z406" s="12"/>
      <c r="AA406" s="12"/>
      <c r="AB406" s="12"/>
      <c r="AC406" s="12"/>
      <c r="AD406" s="12"/>
      <c r="AE406" s="12"/>
      <c r="AF406" s="13">
        <f>H406+I406+J406+K406+M406-N406</f>
        <v>47618</v>
      </c>
      <c r="AG406" s="13">
        <f>SUM(O406:AE406)</f>
        <v>12017</v>
      </c>
      <c r="AH406" s="13">
        <f>AF406-AG406</f>
        <v>35601</v>
      </c>
      <c r="AI406" s="12"/>
      <c r="AJ406" s="12"/>
      <c r="AK406" s="12"/>
    </row>
    <row r="407" spans="1:37">
      <c r="A407" s="16">
        <v>8</v>
      </c>
      <c r="B407" s="12">
        <v>1343</v>
      </c>
      <c r="C407" s="16" t="s">
        <v>436</v>
      </c>
      <c r="D407" s="12" t="s">
        <v>28</v>
      </c>
      <c r="E407" s="12"/>
      <c r="F407" s="10" t="s">
        <v>391</v>
      </c>
      <c r="G407" s="12" t="s">
        <v>62</v>
      </c>
      <c r="H407" s="12"/>
      <c r="I407" s="12"/>
      <c r="J407" s="12">
        <v>150</v>
      </c>
      <c r="K407" s="12">
        <v>1400</v>
      </c>
      <c r="L407" s="12">
        <v>11517</v>
      </c>
      <c r="M407" s="11">
        <f>L407*4+AI407-AJ407</f>
        <v>46068</v>
      </c>
      <c r="N407" s="13"/>
      <c r="O407" s="12"/>
      <c r="P407" s="12"/>
      <c r="Q407" s="12"/>
      <c r="R407" s="12"/>
      <c r="S407" s="12"/>
      <c r="T407" s="12"/>
      <c r="U407" s="12">
        <v>12017</v>
      </c>
      <c r="V407" s="12"/>
      <c r="W407" s="12"/>
      <c r="X407" s="12"/>
      <c r="Y407" s="12"/>
      <c r="Z407" s="12"/>
      <c r="AA407" s="12"/>
      <c r="AB407" s="12"/>
      <c r="AC407" s="12"/>
      <c r="AD407" s="12"/>
      <c r="AE407" s="12"/>
      <c r="AF407" s="13">
        <f>H407+I407+J407+K407+M407-N407</f>
        <v>47618</v>
      </c>
      <c r="AG407" s="13">
        <f>SUM(O407:AE407)</f>
        <v>12017</v>
      </c>
      <c r="AH407" s="13">
        <f>AF407-AG407</f>
        <v>35601</v>
      </c>
      <c r="AI407" s="12"/>
      <c r="AJ407" s="12"/>
      <c r="AK407" s="12"/>
    </row>
    <row r="408" spans="1:37">
      <c r="A408" s="16">
        <v>9</v>
      </c>
      <c r="B408" s="12">
        <v>1572</v>
      </c>
      <c r="C408" s="16" t="s">
        <v>437</v>
      </c>
      <c r="D408" s="12" t="s">
        <v>28</v>
      </c>
      <c r="E408" s="12"/>
      <c r="F408" s="10" t="s">
        <v>391</v>
      </c>
      <c r="G408" s="12" t="s">
        <v>62</v>
      </c>
      <c r="H408" s="12"/>
      <c r="I408" s="12"/>
      <c r="J408" s="12">
        <v>150</v>
      </c>
      <c r="K408" s="12">
        <v>1400</v>
      </c>
      <c r="L408" s="12">
        <v>11517</v>
      </c>
      <c r="M408" s="11">
        <f>L408*4+AI408-AJ408</f>
        <v>45736</v>
      </c>
      <c r="N408" s="13"/>
      <c r="O408" s="12"/>
      <c r="P408" s="12"/>
      <c r="Q408" s="12"/>
      <c r="R408" s="12"/>
      <c r="S408" s="12"/>
      <c r="T408" s="12">
        <v>12017</v>
      </c>
      <c r="U408" s="12"/>
      <c r="V408" s="12"/>
      <c r="W408" s="12"/>
      <c r="X408" s="12"/>
      <c r="Y408" s="12"/>
      <c r="Z408" s="12"/>
      <c r="AA408" s="12"/>
      <c r="AB408" s="12"/>
      <c r="AC408" s="12"/>
      <c r="AD408" s="12"/>
      <c r="AE408" s="12"/>
      <c r="AF408" s="13">
        <f>H408+I408+J408+K408+M408-N408</f>
        <v>47286</v>
      </c>
      <c r="AG408" s="13">
        <f>SUM(O408:AE408)</f>
        <v>12017</v>
      </c>
      <c r="AH408" s="13">
        <f>AF408-AG408</f>
        <v>35269</v>
      </c>
      <c r="AI408" s="12"/>
      <c r="AJ408" s="12">
        <v>332</v>
      </c>
      <c r="AK408" s="12"/>
    </row>
    <row r="409" spans="1:37">
      <c r="A409" s="16">
        <v>10</v>
      </c>
      <c r="B409" s="16">
        <v>1807</v>
      </c>
      <c r="C409" s="16" t="s">
        <v>438</v>
      </c>
      <c r="D409" s="12" t="s">
        <v>28</v>
      </c>
      <c r="E409" s="12"/>
      <c r="F409" s="10" t="s">
        <v>391</v>
      </c>
      <c r="G409" s="12" t="s">
        <v>62</v>
      </c>
      <c r="H409" s="12"/>
      <c r="I409" s="12"/>
      <c r="J409" s="12">
        <v>150</v>
      </c>
      <c r="K409" s="12">
        <v>1400</v>
      </c>
      <c r="L409" s="12">
        <v>11517</v>
      </c>
      <c r="M409" s="11">
        <f>L409*4+AI409-AJ409</f>
        <v>46068</v>
      </c>
      <c r="N409" s="13"/>
      <c r="O409" s="12"/>
      <c r="P409" s="12"/>
      <c r="Q409" s="12"/>
      <c r="R409" s="12"/>
      <c r="S409" s="12">
        <v>12017</v>
      </c>
      <c r="T409" s="12"/>
      <c r="U409" s="12"/>
      <c r="V409" s="12"/>
      <c r="W409" s="12"/>
      <c r="X409" s="12"/>
      <c r="Y409" s="12"/>
      <c r="Z409" s="12"/>
      <c r="AA409" s="12"/>
      <c r="AB409" s="12"/>
      <c r="AC409" s="12"/>
      <c r="AD409" s="12"/>
      <c r="AE409" s="12"/>
      <c r="AF409" s="13">
        <f>H409+I409+J409+K409+M409-N409</f>
        <v>47618</v>
      </c>
      <c r="AG409" s="13">
        <f>SUM(O409:AE409)</f>
        <v>12017</v>
      </c>
      <c r="AH409" s="13">
        <f>AF409-AG409</f>
        <v>35601</v>
      </c>
      <c r="AI409" s="12"/>
      <c r="AJ409" s="12"/>
      <c r="AK409" s="12"/>
    </row>
    <row r="410" spans="1:37">
      <c r="A410" s="16">
        <v>11</v>
      </c>
      <c r="B410" s="17">
        <v>1761</v>
      </c>
      <c r="C410" s="17" t="s">
        <v>439</v>
      </c>
      <c r="D410" s="18" t="s">
        <v>23</v>
      </c>
      <c r="E410" s="18"/>
      <c r="F410" s="14" t="s">
        <v>391</v>
      </c>
      <c r="G410" s="18" t="s">
        <v>62</v>
      </c>
      <c r="H410" s="12"/>
      <c r="I410" s="12"/>
      <c r="J410" s="12">
        <v>150</v>
      </c>
      <c r="K410" s="12">
        <v>0</v>
      </c>
      <c r="L410" s="12">
        <v>0</v>
      </c>
      <c r="M410" s="11">
        <f>L410*4+AI410-AJ410</f>
        <v>0</v>
      </c>
      <c r="N410" s="13"/>
      <c r="O410" s="12"/>
      <c r="P410" s="12"/>
      <c r="Q410" s="12"/>
      <c r="R410" s="12"/>
      <c r="S410" s="12"/>
      <c r="T410" s="12">
        <v>150</v>
      </c>
      <c r="U410" s="12"/>
      <c r="V410" s="12"/>
      <c r="W410" s="12"/>
      <c r="X410" s="12"/>
      <c r="Y410" s="12"/>
      <c r="Z410" s="12"/>
      <c r="AA410" s="12"/>
      <c r="AB410" s="12"/>
      <c r="AC410" s="12"/>
      <c r="AD410" s="12"/>
      <c r="AE410" s="12"/>
      <c r="AF410" s="13">
        <f>H410+I410+J410+K410+M410-N410</f>
        <v>150</v>
      </c>
      <c r="AG410" s="13">
        <f>SUM(O410:AE410)</f>
        <v>150</v>
      </c>
      <c r="AH410" s="13">
        <f>AF410-AG410</f>
        <v>0</v>
      </c>
      <c r="AI410" s="12"/>
      <c r="AJ410" s="12"/>
      <c r="AK410" s="12"/>
    </row>
    <row r="411" spans="1:37">
      <c r="A411" s="16">
        <v>12</v>
      </c>
      <c r="B411" s="12">
        <v>1588</v>
      </c>
      <c r="C411" s="16" t="s">
        <v>440</v>
      </c>
      <c r="D411" s="12" t="s">
        <v>28</v>
      </c>
      <c r="E411" s="12"/>
      <c r="F411" s="10" t="s">
        <v>391</v>
      </c>
      <c r="G411" s="12" t="s">
        <v>62</v>
      </c>
      <c r="H411" s="12"/>
      <c r="I411" s="12"/>
      <c r="J411" s="12">
        <v>150</v>
      </c>
      <c r="K411" s="12">
        <v>1400</v>
      </c>
      <c r="L411" s="12">
        <v>11517</v>
      </c>
      <c r="M411" s="11">
        <f>L411*4+AI411-AJ411</f>
        <v>46068</v>
      </c>
      <c r="N411" s="13">
        <v>2303</v>
      </c>
      <c r="O411" s="12"/>
      <c r="P411" s="12"/>
      <c r="Q411" s="12"/>
      <c r="R411" s="12"/>
      <c r="S411" s="12">
        <v>45315</v>
      </c>
      <c r="T411" s="12"/>
      <c r="U411" s="12"/>
      <c r="V411" s="12"/>
      <c r="W411" s="12"/>
      <c r="X411" s="12"/>
      <c r="Y411" s="12"/>
      <c r="Z411" s="12"/>
      <c r="AA411" s="12"/>
      <c r="AB411" s="12"/>
      <c r="AC411" s="12"/>
      <c r="AD411" s="12"/>
      <c r="AE411" s="12"/>
      <c r="AF411" s="13">
        <f>H411+I411+J411+K411+M411-N411</f>
        <v>45315</v>
      </c>
      <c r="AG411" s="13">
        <f>SUM(O411:AE411)</f>
        <v>45315</v>
      </c>
      <c r="AH411" s="13">
        <f>AF411-AG411</f>
        <v>0</v>
      </c>
      <c r="AI411" s="12"/>
      <c r="AJ411" s="12"/>
      <c r="AK411" s="12"/>
    </row>
    <row r="412" spans="1:37">
      <c r="A412" s="16">
        <v>13</v>
      </c>
      <c r="B412" s="17">
        <v>1963</v>
      </c>
      <c r="C412" s="17" t="s">
        <v>441</v>
      </c>
      <c r="D412" s="17" t="s">
        <v>23</v>
      </c>
      <c r="E412" s="17"/>
      <c r="F412" s="14" t="s">
        <v>391</v>
      </c>
      <c r="G412" s="17" t="s">
        <v>62</v>
      </c>
      <c r="H412" s="12"/>
      <c r="I412" s="12"/>
      <c r="J412" s="12">
        <v>150</v>
      </c>
      <c r="K412" s="12">
        <v>0</v>
      </c>
      <c r="L412" s="12">
        <v>0</v>
      </c>
      <c r="M412" s="11">
        <f>L412*4+AI412-AJ412</f>
        <v>0</v>
      </c>
      <c r="N412" s="13"/>
      <c r="O412" s="12"/>
      <c r="P412" s="12"/>
      <c r="Q412" s="12"/>
      <c r="R412" s="12"/>
      <c r="S412" s="12"/>
      <c r="T412" s="12">
        <v>150</v>
      </c>
      <c r="U412" s="12"/>
      <c r="V412" s="12"/>
      <c r="W412" s="12"/>
      <c r="X412" s="12"/>
      <c r="Y412" s="12"/>
      <c r="Z412" s="12"/>
      <c r="AA412" s="12"/>
      <c r="AB412" s="12"/>
      <c r="AC412" s="12"/>
      <c r="AD412" s="12"/>
      <c r="AE412" s="12"/>
      <c r="AF412" s="13">
        <f>H412+I412+J412+K412+M412-N412</f>
        <v>150</v>
      </c>
      <c r="AG412" s="13">
        <f>SUM(O412:AE412)</f>
        <v>150</v>
      </c>
      <c r="AH412" s="13">
        <f>AF412-AG412</f>
        <v>0</v>
      </c>
      <c r="AI412" s="12"/>
      <c r="AJ412" s="12"/>
      <c r="AK412" s="12"/>
    </row>
    <row r="413" spans="1:37">
      <c r="A413" s="16">
        <v>14</v>
      </c>
      <c r="B413" s="18">
        <v>1640</v>
      </c>
      <c r="C413" s="17" t="s">
        <v>442</v>
      </c>
      <c r="D413" s="18" t="s">
        <v>28</v>
      </c>
      <c r="E413" s="18"/>
      <c r="F413" s="14" t="s">
        <v>391</v>
      </c>
      <c r="G413" s="18" t="s">
        <v>62</v>
      </c>
      <c r="H413" s="12"/>
      <c r="I413" s="12"/>
      <c r="J413" s="12">
        <v>150</v>
      </c>
      <c r="K413" s="12">
        <v>0</v>
      </c>
      <c r="L413" s="12">
        <v>0</v>
      </c>
      <c r="M413" s="11">
        <f>L413*4+AI413-AJ413</f>
        <v>0</v>
      </c>
      <c r="N413" s="13"/>
      <c r="O413" s="12"/>
      <c r="P413" s="12"/>
      <c r="Q413" s="12"/>
      <c r="R413" s="12"/>
      <c r="S413" s="12"/>
      <c r="T413" s="12">
        <v>150</v>
      </c>
      <c r="U413" s="12"/>
      <c r="V413" s="12"/>
      <c r="W413" s="12"/>
      <c r="X413" s="12"/>
      <c r="Y413" s="12"/>
      <c r="Z413" s="12"/>
      <c r="AA413" s="12"/>
      <c r="AB413" s="12"/>
      <c r="AC413" s="12"/>
      <c r="AD413" s="12"/>
      <c r="AE413" s="12"/>
      <c r="AF413" s="13">
        <f>H413+I413+J413+K413+M413-N413</f>
        <v>150</v>
      </c>
      <c r="AG413" s="13">
        <f>SUM(O413:AE413)</f>
        <v>150</v>
      </c>
      <c r="AH413" s="13">
        <f>AF413-AG413</f>
        <v>0</v>
      </c>
      <c r="AI413" s="12"/>
      <c r="AJ413" s="12"/>
      <c r="AK413" s="12"/>
    </row>
    <row r="414" spans="1:37">
      <c r="A414" s="16">
        <v>15</v>
      </c>
      <c r="B414" s="12">
        <v>1395</v>
      </c>
      <c r="C414" s="16" t="s">
        <v>443</v>
      </c>
      <c r="D414" s="12" t="s">
        <v>28</v>
      </c>
      <c r="E414" s="12"/>
      <c r="F414" s="10" t="s">
        <v>391</v>
      </c>
      <c r="G414" s="12" t="s">
        <v>62</v>
      </c>
      <c r="H414" s="12"/>
      <c r="I414" s="12"/>
      <c r="J414" s="12">
        <v>150</v>
      </c>
      <c r="K414" s="12">
        <v>1400</v>
      </c>
      <c r="L414" s="12">
        <v>11517</v>
      </c>
      <c r="M414" s="11">
        <f>L414*4+AI414-AJ414</f>
        <v>46068</v>
      </c>
      <c r="N414" s="13"/>
      <c r="O414" s="12"/>
      <c r="P414" s="12"/>
      <c r="Q414" s="12"/>
      <c r="R414" s="12"/>
      <c r="S414" s="12"/>
      <c r="T414" s="12">
        <v>12017</v>
      </c>
      <c r="U414" s="12"/>
      <c r="V414" s="12"/>
      <c r="W414" s="12"/>
      <c r="X414" s="12"/>
      <c r="Y414" s="12"/>
      <c r="Z414" s="12"/>
      <c r="AA414" s="12"/>
      <c r="AB414" s="12"/>
      <c r="AC414" s="12"/>
      <c r="AD414" s="12"/>
      <c r="AE414" s="12"/>
      <c r="AF414" s="13">
        <f>H414+I414+J414+K414+M414-N414</f>
        <v>47618</v>
      </c>
      <c r="AG414" s="13">
        <f>SUM(O414:AE414)</f>
        <v>12017</v>
      </c>
      <c r="AH414" s="13">
        <f>AF414-AG414</f>
        <v>35601</v>
      </c>
      <c r="AI414" s="12"/>
      <c r="AJ414" s="12"/>
      <c r="AK414" s="12"/>
    </row>
    <row r="415" spans="1:37">
      <c r="A415" s="16">
        <v>16</v>
      </c>
      <c r="B415" s="12">
        <v>1482</v>
      </c>
      <c r="C415" s="16" t="s">
        <v>444</v>
      </c>
      <c r="D415" s="12" t="s">
        <v>28</v>
      </c>
      <c r="E415" s="12"/>
      <c r="F415" s="10" t="s">
        <v>391</v>
      </c>
      <c r="G415" s="12" t="s">
        <v>62</v>
      </c>
      <c r="H415" s="12"/>
      <c r="I415" s="12"/>
      <c r="J415" s="12">
        <v>150</v>
      </c>
      <c r="K415" s="12">
        <v>1400</v>
      </c>
      <c r="L415" s="12">
        <v>11517</v>
      </c>
      <c r="M415" s="11">
        <f>L415*4+AI415-AJ415</f>
        <v>46068</v>
      </c>
      <c r="N415" s="13"/>
      <c r="O415" s="12"/>
      <c r="P415" s="12"/>
      <c r="Q415" s="12"/>
      <c r="R415" s="12"/>
      <c r="S415" s="12"/>
      <c r="T415" s="12">
        <v>12017</v>
      </c>
      <c r="U415" s="12"/>
      <c r="V415" s="12"/>
      <c r="W415" s="12"/>
      <c r="X415" s="12"/>
      <c r="Y415" s="12"/>
      <c r="Z415" s="12"/>
      <c r="AA415" s="12"/>
      <c r="AB415" s="12"/>
      <c r="AC415" s="12"/>
      <c r="AD415" s="12"/>
      <c r="AE415" s="12"/>
      <c r="AF415" s="13">
        <f>H415+I415+J415+K415+M415-N415</f>
        <v>47618</v>
      </c>
      <c r="AG415" s="13">
        <f>SUM(O415:AE415)</f>
        <v>12017</v>
      </c>
      <c r="AH415" s="13">
        <f>AF415-AG415</f>
        <v>35601</v>
      </c>
      <c r="AI415" s="12"/>
      <c r="AJ415" s="12"/>
      <c r="AK415" s="12"/>
    </row>
    <row r="416" spans="1:37">
      <c r="A416" s="16">
        <v>17</v>
      </c>
      <c r="B416" s="12">
        <v>1580</v>
      </c>
      <c r="C416" s="16" t="s">
        <v>445</v>
      </c>
      <c r="D416" s="12" t="s">
        <v>23</v>
      </c>
      <c r="E416" s="12"/>
      <c r="F416" s="10" t="s">
        <v>391</v>
      </c>
      <c r="G416" s="12" t="s">
        <v>62</v>
      </c>
      <c r="H416" s="12"/>
      <c r="I416" s="12"/>
      <c r="J416" s="12">
        <v>150</v>
      </c>
      <c r="K416" s="12">
        <v>1400</v>
      </c>
      <c r="L416" s="12">
        <v>11517</v>
      </c>
      <c r="M416" s="11">
        <f>L416*4+AI416-AJ416</f>
        <v>46068</v>
      </c>
      <c r="N416" s="13"/>
      <c r="O416" s="12"/>
      <c r="P416" s="12"/>
      <c r="Q416" s="12"/>
      <c r="R416" s="12"/>
      <c r="S416" s="12">
        <v>12017</v>
      </c>
      <c r="T416" s="12"/>
      <c r="U416" s="12"/>
      <c r="V416" s="12"/>
      <c r="W416" s="12"/>
      <c r="X416" s="12"/>
      <c r="Y416" s="12"/>
      <c r="Z416" s="12"/>
      <c r="AA416" s="12"/>
      <c r="AB416" s="12"/>
      <c r="AC416" s="12"/>
      <c r="AD416" s="12"/>
      <c r="AE416" s="12"/>
      <c r="AF416" s="13">
        <f>H416+I416+J416+K416+M416-N416</f>
        <v>47618</v>
      </c>
      <c r="AG416" s="13">
        <f>SUM(O416:AE416)</f>
        <v>12017</v>
      </c>
      <c r="AH416" s="13">
        <f>AF416-AG416</f>
        <v>35601</v>
      </c>
      <c r="AI416" s="12"/>
      <c r="AJ416" s="12"/>
      <c r="AK416" s="12"/>
    </row>
    <row r="417" spans="1:37">
      <c r="A417" s="16">
        <v>18</v>
      </c>
      <c r="B417" s="18">
        <v>1795</v>
      </c>
      <c r="C417" s="17" t="s">
        <v>446</v>
      </c>
      <c r="D417" s="18" t="s">
        <v>28</v>
      </c>
      <c r="E417" s="18"/>
      <c r="F417" s="14" t="s">
        <v>391</v>
      </c>
      <c r="G417" s="18" t="s">
        <v>62</v>
      </c>
      <c r="H417" s="12"/>
      <c r="I417" s="12"/>
      <c r="J417" s="12">
        <v>150</v>
      </c>
      <c r="K417" s="12">
        <v>0</v>
      </c>
      <c r="L417" s="12">
        <v>0</v>
      </c>
      <c r="M417" s="11">
        <f>L417*4+AI417-AJ417</f>
        <v>0</v>
      </c>
      <c r="N417" s="13"/>
      <c r="O417" s="12"/>
      <c r="P417" s="12"/>
      <c r="Q417" s="12"/>
      <c r="R417" s="12"/>
      <c r="S417" s="12"/>
      <c r="T417" s="12">
        <v>150</v>
      </c>
      <c r="U417" s="12"/>
      <c r="V417" s="12"/>
      <c r="W417" s="12"/>
      <c r="X417" s="12"/>
      <c r="Y417" s="12"/>
      <c r="Z417" s="12"/>
      <c r="AA417" s="12"/>
      <c r="AB417" s="12"/>
      <c r="AC417" s="12"/>
      <c r="AD417" s="12"/>
      <c r="AE417" s="12"/>
      <c r="AF417" s="13">
        <f>H417+I417+J417+K417+M417-N417</f>
        <v>150</v>
      </c>
      <c r="AG417" s="13">
        <f>SUM(O417:AE417)</f>
        <v>150</v>
      </c>
      <c r="AH417" s="13">
        <f>AF417-AG417</f>
        <v>0</v>
      </c>
      <c r="AI417" s="12"/>
      <c r="AJ417" s="12"/>
      <c r="AK417" s="12"/>
    </row>
    <row r="418" spans="1:37">
      <c r="A418" s="16">
        <v>19</v>
      </c>
      <c r="B418" s="12">
        <v>1772</v>
      </c>
      <c r="C418" s="16" t="s">
        <v>447</v>
      </c>
      <c r="D418" s="12" t="s">
        <v>28</v>
      </c>
      <c r="E418" s="12"/>
      <c r="F418" s="10" t="s">
        <v>391</v>
      </c>
      <c r="G418" s="12" t="s">
        <v>62</v>
      </c>
      <c r="H418" s="12"/>
      <c r="I418" s="12"/>
      <c r="J418" s="12">
        <v>150</v>
      </c>
      <c r="K418" s="12">
        <v>1400</v>
      </c>
      <c r="L418" s="12">
        <v>11517</v>
      </c>
      <c r="M418" s="11">
        <f>L418*4+AI418-AJ418</f>
        <v>46068</v>
      </c>
      <c r="N418" s="13">
        <v>2303</v>
      </c>
      <c r="O418" s="12"/>
      <c r="P418" s="12"/>
      <c r="Q418" s="12"/>
      <c r="R418" s="12"/>
      <c r="S418" s="12">
        <v>45315</v>
      </c>
      <c r="T418" s="12"/>
      <c r="U418" s="12"/>
      <c r="V418" s="12"/>
      <c r="W418" s="12"/>
      <c r="X418" s="12"/>
      <c r="Y418" s="12"/>
      <c r="Z418" s="12"/>
      <c r="AA418" s="12"/>
      <c r="AB418" s="12"/>
      <c r="AC418" s="12"/>
      <c r="AD418" s="12"/>
      <c r="AE418" s="12"/>
      <c r="AF418" s="13">
        <f>H418+I418+J418+K418+M418-N418</f>
        <v>45315</v>
      </c>
      <c r="AG418" s="13">
        <f>SUM(O418:AE418)</f>
        <v>45315</v>
      </c>
      <c r="AH418" s="13">
        <f>AF418-AG418</f>
        <v>0</v>
      </c>
      <c r="AI418" s="12"/>
      <c r="AJ418" s="12"/>
      <c r="AK418" s="12"/>
    </row>
    <row r="419" spans="1:37">
      <c r="A419" s="16">
        <v>20</v>
      </c>
      <c r="B419" s="12">
        <v>1446</v>
      </c>
      <c r="C419" s="16" t="s">
        <v>448</v>
      </c>
      <c r="D419" s="12" t="s">
        <v>23</v>
      </c>
      <c r="E419" s="12"/>
      <c r="F419" s="10" t="s">
        <v>391</v>
      </c>
      <c r="G419" s="12" t="s">
        <v>62</v>
      </c>
      <c r="H419" s="12"/>
      <c r="I419" s="12"/>
      <c r="J419" s="12">
        <v>150</v>
      </c>
      <c r="K419" s="12">
        <v>1400</v>
      </c>
      <c r="L419" s="12">
        <v>11517</v>
      </c>
      <c r="M419" s="11">
        <f>L419*4+AI419-AJ419</f>
        <v>46068</v>
      </c>
      <c r="N419" s="13"/>
      <c r="O419" s="12"/>
      <c r="P419" s="12"/>
      <c r="Q419" s="12"/>
      <c r="R419" s="12"/>
      <c r="S419" s="12">
        <v>12017</v>
      </c>
      <c r="T419" s="12"/>
      <c r="U419" s="12"/>
      <c r="V419" s="12">
        <v>11867</v>
      </c>
      <c r="W419" s="12"/>
      <c r="X419" s="12"/>
      <c r="Y419" s="12"/>
      <c r="Z419" s="12"/>
      <c r="AA419" s="12"/>
      <c r="AB419" s="12"/>
      <c r="AC419" s="12"/>
      <c r="AD419" s="12"/>
      <c r="AE419" s="12"/>
      <c r="AF419" s="13">
        <f>H419+I419+J419+K419+M419-N419</f>
        <v>47618</v>
      </c>
      <c r="AG419" s="13">
        <f>SUM(O419:AE419)</f>
        <v>23884</v>
      </c>
      <c r="AH419" s="13">
        <f>AF419-AG419</f>
        <v>23734</v>
      </c>
      <c r="AI419" s="12"/>
      <c r="AJ419" s="12"/>
      <c r="AK419" s="12"/>
    </row>
    <row r="420" spans="1:37">
      <c r="A420" s="16">
        <v>21</v>
      </c>
      <c r="B420" s="12">
        <v>1554</v>
      </c>
      <c r="C420" s="16" t="s">
        <v>449</v>
      </c>
      <c r="D420" s="12" t="s">
        <v>23</v>
      </c>
      <c r="E420" s="12"/>
      <c r="F420" s="10" t="s">
        <v>391</v>
      </c>
      <c r="G420" s="12" t="s">
        <v>62</v>
      </c>
      <c r="H420" s="12"/>
      <c r="I420" s="12"/>
      <c r="J420" s="12">
        <v>150</v>
      </c>
      <c r="K420" s="12">
        <v>1400</v>
      </c>
      <c r="L420" s="12">
        <v>11517</v>
      </c>
      <c r="M420" s="11">
        <f>L420*4+AI420-AJ420</f>
        <v>46068</v>
      </c>
      <c r="N420" s="13"/>
      <c r="O420" s="12"/>
      <c r="P420" s="12"/>
      <c r="Q420" s="12"/>
      <c r="R420" s="12"/>
      <c r="S420" s="12"/>
      <c r="T420" s="12">
        <v>12017</v>
      </c>
      <c r="U420" s="12"/>
      <c r="V420" s="12"/>
      <c r="W420" s="12"/>
      <c r="X420" s="12"/>
      <c r="Y420" s="12"/>
      <c r="Z420" s="12"/>
      <c r="AA420" s="12"/>
      <c r="AB420" s="12"/>
      <c r="AC420" s="12"/>
      <c r="AD420" s="12"/>
      <c r="AE420" s="12"/>
      <c r="AF420" s="13">
        <f>H420+I420+J420+K420+M420-N420</f>
        <v>47618</v>
      </c>
      <c r="AG420" s="13">
        <f>SUM(O420:AE420)</f>
        <v>12017</v>
      </c>
      <c r="AH420" s="13">
        <f>AF420-AG420</f>
        <v>35601</v>
      </c>
      <c r="AI420" s="12"/>
      <c r="AJ420" s="12"/>
      <c r="AK420" s="12"/>
    </row>
    <row r="421" spans="1:37">
      <c r="A421" s="16">
        <v>22</v>
      </c>
      <c r="B421" s="18">
        <v>1784</v>
      </c>
      <c r="C421" s="17" t="s">
        <v>450</v>
      </c>
      <c r="D421" s="18" t="s">
        <v>28</v>
      </c>
      <c r="E421" s="18"/>
      <c r="F421" s="14" t="s">
        <v>391</v>
      </c>
      <c r="G421" s="18" t="s">
        <v>62</v>
      </c>
      <c r="H421" s="12"/>
      <c r="I421" s="12"/>
      <c r="J421" s="12">
        <v>150</v>
      </c>
      <c r="K421" s="12">
        <v>0</v>
      </c>
      <c r="L421" s="12">
        <v>0</v>
      </c>
      <c r="M421" s="11">
        <f>L421*4+AI421-AJ421</f>
        <v>0</v>
      </c>
      <c r="N421" s="13"/>
      <c r="O421" s="12"/>
      <c r="P421" s="12"/>
      <c r="Q421" s="12"/>
      <c r="R421" s="12"/>
      <c r="S421" s="12"/>
      <c r="T421" s="12"/>
      <c r="U421" s="12">
        <v>150</v>
      </c>
      <c r="V421" s="12"/>
      <c r="W421" s="12"/>
      <c r="X421" s="12"/>
      <c r="Y421" s="12"/>
      <c r="Z421" s="12"/>
      <c r="AA421" s="12"/>
      <c r="AB421" s="12"/>
      <c r="AC421" s="12"/>
      <c r="AD421" s="12"/>
      <c r="AE421" s="12"/>
      <c r="AF421" s="13">
        <f>H421+I421+J421+K421+M421-N421</f>
        <v>150</v>
      </c>
      <c r="AG421" s="13">
        <f>SUM(O421:AE421)</f>
        <v>150</v>
      </c>
      <c r="AH421" s="13">
        <f>AF421-AG421</f>
        <v>0</v>
      </c>
      <c r="AI421" s="12"/>
      <c r="AJ421" s="12"/>
      <c r="AK421" s="12"/>
    </row>
    <row r="422" spans="1:37">
      <c r="A422" s="16">
        <v>23</v>
      </c>
      <c r="B422" s="12">
        <v>1443</v>
      </c>
      <c r="C422" s="16" t="s">
        <v>451</v>
      </c>
      <c r="D422" s="12" t="s">
        <v>28</v>
      </c>
      <c r="E422" s="12"/>
      <c r="F422" s="10" t="s">
        <v>391</v>
      </c>
      <c r="G422" s="12" t="s">
        <v>62</v>
      </c>
      <c r="H422" s="12"/>
      <c r="I422" s="12"/>
      <c r="J422" s="12">
        <v>150</v>
      </c>
      <c r="K422" s="12">
        <v>1400</v>
      </c>
      <c r="L422" s="12">
        <v>11517</v>
      </c>
      <c r="M422" s="11">
        <f>L422*4+AI422-AJ422</f>
        <v>46068</v>
      </c>
      <c r="N422" s="13"/>
      <c r="O422" s="12"/>
      <c r="P422" s="12"/>
      <c r="Q422" s="12"/>
      <c r="R422" s="12"/>
      <c r="S422" s="12"/>
      <c r="T422" s="12">
        <v>12017</v>
      </c>
      <c r="U422" s="12"/>
      <c r="V422" s="12"/>
      <c r="W422" s="12"/>
      <c r="X422" s="12"/>
      <c r="Y422" s="12"/>
      <c r="Z422" s="12"/>
      <c r="AA422" s="12"/>
      <c r="AB422" s="12"/>
      <c r="AC422" s="12"/>
      <c r="AD422" s="12"/>
      <c r="AE422" s="12"/>
      <c r="AF422" s="13">
        <f>H422+I422+J422+K422+M422-N422</f>
        <v>47618</v>
      </c>
      <c r="AG422" s="13">
        <f>SUM(O422:AE422)</f>
        <v>12017</v>
      </c>
      <c r="AH422" s="13">
        <f>AF422-AG422</f>
        <v>35601</v>
      </c>
      <c r="AI422" s="12"/>
      <c r="AJ422" s="12"/>
      <c r="AK422" s="12"/>
    </row>
    <row r="423" spans="1:37">
      <c r="A423" s="16">
        <v>24</v>
      </c>
      <c r="B423" s="17">
        <v>1952</v>
      </c>
      <c r="C423" s="18" t="s">
        <v>452</v>
      </c>
      <c r="D423" s="18" t="s">
        <v>23</v>
      </c>
      <c r="E423" s="18"/>
      <c r="F423" s="14" t="s">
        <v>391</v>
      </c>
      <c r="G423" s="18" t="s">
        <v>62</v>
      </c>
      <c r="H423" s="9"/>
      <c r="I423" s="12"/>
      <c r="J423" s="12">
        <v>150</v>
      </c>
      <c r="K423" s="12">
        <v>0</v>
      </c>
      <c r="L423" s="12">
        <v>0</v>
      </c>
      <c r="M423" s="11">
        <f>L423*4+AI423-AJ423</f>
        <v>0</v>
      </c>
      <c r="N423" s="13"/>
      <c r="O423" s="12"/>
      <c r="P423" s="12"/>
      <c r="Q423" s="12"/>
      <c r="R423" s="12"/>
      <c r="S423" s="12"/>
      <c r="T423" s="12"/>
      <c r="U423" s="12"/>
      <c r="V423" s="12">
        <v>150</v>
      </c>
      <c r="W423" s="12"/>
      <c r="X423" s="12"/>
      <c r="Y423" s="12"/>
      <c r="Z423" s="12"/>
      <c r="AA423" s="12"/>
      <c r="AB423" s="12"/>
      <c r="AC423" s="12"/>
      <c r="AD423" s="12"/>
      <c r="AE423" s="12"/>
      <c r="AF423" s="13">
        <f>H423+I423+J423+K423+M423-N423</f>
        <v>150</v>
      </c>
      <c r="AG423" s="13">
        <f>SUM(O423:AE423)</f>
        <v>150</v>
      </c>
      <c r="AH423" s="13">
        <f>AF423-AG423</f>
        <v>0</v>
      </c>
      <c r="AI423" s="12"/>
      <c r="AJ423" s="12"/>
      <c r="AK423" s="12"/>
    </row>
    <row r="424" spans="1:37">
      <c r="A424" s="16">
        <v>25</v>
      </c>
      <c r="B424" s="19">
        <v>1573</v>
      </c>
      <c r="C424" s="20" t="s">
        <v>453</v>
      </c>
      <c r="D424" s="20" t="s">
        <v>23</v>
      </c>
      <c r="E424" s="20" t="s">
        <v>24</v>
      </c>
      <c r="F424" s="21" t="s">
        <v>391</v>
      </c>
      <c r="G424" s="20" t="s">
        <v>62</v>
      </c>
      <c r="H424" s="9">
        <v>5000</v>
      </c>
      <c r="I424" s="12">
        <v>1200</v>
      </c>
      <c r="J424" s="12">
        <v>150</v>
      </c>
      <c r="K424" s="12">
        <v>1400</v>
      </c>
      <c r="L424" s="12">
        <v>11517</v>
      </c>
      <c r="M424" s="11">
        <f>L424*4+AI424-AJ424</f>
        <v>46068</v>
      </c>
      <c r="N424" s="13"/>
      <c r="O424" s="12">
        <v>5000</v>
      </c>
      <c r="P424" s="12">
        <v>1200</v>
      </c>
      <c r="Q424" s="12"/>
      <c r="R424" s="12"/>
      <c r="S424" s="12"/>
      <c r="T424" s="12"/>
      <c r="U424" s="12">
        <v>12017</v>
      </c>
      <c r="V424" s="12"/>
      <c r="W424" s="12"/>
      <c r="X424" s="12"/>
      <c r="Y424" s="12"/>
      <c r="Z424" s="12"/>
      <c r="AA424" s="12"/>
      <c r="AB424" s="12"/>
      <c r="AC424" s="12"/>
      <c r="AD424" s="12"/>
      <c r="AE424" s="12"/>
      <c r="AF424" s="13">
        <f>H424+I424+J424+K424+M424-N424</f>
        <v>53818</v>
      </c>
      <c r="AG424" s="13">
        <f>SUM(O424:AE424)</f>
        <v>18217</v>
      </c>
      <c r="AH424" s="13">
        <f>AF424-AG424</f>
        <v>35601</v>
      </c>
      <c r="AI424" s="12"/>
      <c r="AJ424" s="12"/>
      <c r="AK424" s="12"/>
    </row>
    <row r="425" spans="1:37">
      <c r="A425" s="16">
        <v>26</v>
      </c>
      <c r="B425" s="16">
        <v>2092</v>
      </c>
      <c r="C425" s="16" t="s">
        <v>454</v>
      </c>
      <c r="D425" s="16" t="s">
        <v>23</v>
      </c>
      <c r="E425" s="16"/>
      <c r="F425" s="10" t="s">
        <v>391</v>
      </c>
      <c r="G425" s="11" t="s">
        <v>62</v>
      </c>
      <c r="H425" s="9"/>
      <c r="I425" s="12"/>
      <c r="J425" s="12">
        <v>150</v>
      </c>
      <c r="K425" s="12">
        <v>1400</v>
      </c>
      <c r="L425" s="12">
        <v>11517</v>
      </c>
      <c r="M425" s="11">
        <f>L425*4+AI425-AJ425</f>
        <v>46068</v>
      </c>
      <c r="N425" s="13"/>
      <c r="O425" s="9"/>
      <c r="P425" s="12"/>
      <c r="Q425" s="12"/>
      <c r="R425" s="12"/>
      <c r="S425" s="12">
        <v>45315</v>
      </c>
      <c r="T425" s="12"/>
      <c r="U425" s="12"/>
      <c r="V425" s="12"/>
      <c r="W425" s="12"/>
      <c r="X425" s="12"/>
      <c r="Y425" s="12"/>
      <c r="Z425" s="12"/>
      <c r="AA425" s="12"/>
      <c r="AB425" s="12"/>
      <c r="AC425" s="12"/>
      <c r="AD425" s="12"/>
      <c r="AE425" s="12"/>
      <c r="AF425" s="13">
        <f>H425+I425+J425+K425+M425-N425</f>
        <v>47618</v>
      </c>
      <c r="AG425" s="13">
        <f>SUM(O425:AE425)</f>
        <v>45315</v>
      </c>
      <c r="AH425" s="13">
        <f>AF425-AG425</f>
        <v>2303</v>
      </c>
      <c r="AI425" s="12"/>
      <c r="AJ425" s="12"/>
      <c r="AK425" s="12"/>
    </row>
    <row r="426" spans="1:37">
      <c r="A426" s="16">
        <v>27</v>
      </c>
      <c r="B426" s="12">
        <v>1388</v>
      </c>
      <c r="C426" s="16" t="s">
        <v>455</v>
      </c>
      <c r="D426" s="12" t="s">
        <v>28</v>
      </c>
      <c r="E426" s="12"/>
      <c r="F426" s="10" t="s">
        <v>391</v>
      </c>
      <c r="G426" s="12" t="s">
        <v>62</v>
      </c>
      <c r="H426" s="12"/>
      <c r="I426" s="12"/>
      <c r="J426" s="12">
        <v>150</v>
      </c>
      <c r="K426" s="12">
        <v>1400</v>
      </c>
      <c r="L426" s="12">
        <v>11517</v>
      </c>
      <c r="M426" s="11">
        <f>L426*4+AI426-AJ426</f>
        <v>46068</v>
      </c>
      <c r="N426" s="13"/>
      <c r="O426" s="12"/>
      <c r="P426" s="12"/>
      <c r="Q426" s="12"/>
      <c r="R426" s="12"/>
      <c r="S426" s="12"/>
      <c r="T426" s="12">
        <v>12017</v>
      </c>
      <c r="U426" s="12"/>
      <c r="V426" s="12"/>
      <c r="W426" s="12"/>
      <c r="X426" s="12"/>
      <c r="Y426" s="12"/>
      <c r="Z426" s="12"/>
      <c r="AA426" s="12"/>
      <c r="AB426" s="12"/>
      <c r="AC426" s="12"/>
      <c r="AD426" s="12"/>
      <c r="AE426" s="12"/>
      <c r="AF426" s="13">
        <f>H426+I426+J426+K426+M426-N426</f>
        <v>47618</v>
      </c>
      <c r="AG426" s="13">
        <f>SUM(O426:AE426)</f>
        <v>12017</v>
      </c>
      <c r="AH426" s="13">
        <f>AF426-AG426</f>
        <v>35601</v>
      </c>
      <c r="AI426" s="12"/>
      <c r="AJ426" s="12"/>
      <c r="AK426" s="12"/>
    </row>
    <row r="427" spans="1:37">
      <c r="A427" s="16">
        <v>28</v>
      </c>
      <c r="B427" s="12">
        <v>1578</v>
      </c>
      <c r="C427" s="16" t="s">
        <v>273</v>
      </c>
      <c r="D427" s="12" t="s">
        <v>28</v>
      </c>
      <c r="E427" s="12"/>
      <c r="F427" s="10" t="s">
        <v>391</v>
      </c>
      <c r="G427" s="12" t="s">
        <v>62</v>
      </c>
      <c r="H427" s="12"/>
      <c r="I427" s="12"/>
      <c r="J427" s="12">
        <v>150</v>
      </c>
      <c r="K427" s="12">
        <v>1400</v>
      </c>
      <c r="L427" s="12">
        <v>11517</v>
      </c>
      <c r="M427" s="11">
        <f>L427*4+AI427-AJ427</f>
        <v>46068</v>
      </c>
      <c r="N427" s="13"/>
      <c r="O427" s="12"/>
      <c r="P427" s="12"/>
      <c r="Q427" s="12"/>
      <c r="R427" s="12"/>
      <c r="S427" s="12"/>
      <c r="T427" s="12">
        <v>12017</v>
      </c>
      <c r="U427" s="12"/>
      <c r="V427" s="12">
        <v>11867</v>
      </c>
      <c r="W427" s="12"/>
      <c r="X427" s="12"/>
      <c r="Y427" s="12"/>
      <c r="Z427" s="12"/>
      <c r="AA427" s="12"/>
      <c r="AB427" s="12"/>
      <c r="AC427" s="12"/>
      <c r="AD427" s="12"/>
      <c r="AE427" s="12"/>
      <c r="AF427" s="13">
        <f>H427+I427+J427+K427+M427-N427</f>
        <v>47618</v>
      </c>
      <c r="AG427" s="13">
        <f>SUM(O427:AE427)</f>
        <v>23884</v>
      </c>
      <c r="AH427" s="13">
        <f>AF427-AG427</f>
        <v>23734</v>
      </c>
      <c r="AI427" s="12"/>
      <c r="AJ427" s="12"/>
      <c r="AK427" s="12"/>
    </row>
    <row r="428" spans="1:37">
      <c r="A428" s="16">
        <v>29</v>
      </c>
      <c r="B428" s="18">
        <v>1774</v>
      </c>
      <c r="C428" s="17" t="s">
        <v>456</v>
      </c>
      <c r="D428" s="18" t="s">
        <v>23</v>
      </c>
      <c r="E428" s="18"/>
      <c r="F428" s="14" t="s">
        <v>391</v>
      </c>
      <c r="G428" s="18" t="s">
        <v>62</v>
      </c>
      <c r="H428" s="9"/>
      <c r="I428" s="12"/>
      <c r="J428" s="12">
        <v>150</v>
      </c>
      <c r="K428" s="12">
        <v>0</v>
      </c>
      <c r="L428" s="12">
        <v>0</v>
      </c>
      <c r="M428" s="11">
        <f>L428*4+AI428-AJ428</f>
        <v>0</v>
      </c>
      <c r="N428" s="13"/>
      <c r="O428" s="12"/>
      <c r="P428" s="12"/>
      <c r="Q428" s="12"/>
      <c r="R428" s="12"/>
      <c r="S428" s="12"/>
      <c r="T428" s="12"/>
      <c r="U428" s="12">
        <v>150</v>
      </c>
      <c r="V428" s="12"/>
      <c r="W428" s="12"/>
      <c r="X428" s="12"/>
      <c r="Y428" s="12"/>
      <c r="Z428" s="12"/>
      <c r="AA428" s="12"/>
      <c r="AB428" s="12"/>
      <c r="AC428" s="12"/>
      <c r="AD428" s="12"/>
      <c r="AE428" s="12"/>
      <c r="AF428" s="13">
        <f>H428+I428+J428+K428+M428-N428</f>
        <v>150</v>
      </c>
      <c r="AG428" s="13">
        <f>SUM(O428:AE428)</f>
        <v>150</v>
      </c>
      <c r="AH428" s="13">
        <f>AF428-AG428</f>
        <v>0</v>
      </c>
      <c r="AI428" s="12"/>
      <c r="AJ428" s="12"/>
      <c r="AK428" s="12"/>
    </row>
    <row r="429" spans="1:37">
      <c r="A429" s="16">
        <v>30</v>
      </c>
      <c r="B429" s="16">
        <v>1949</v>
      </c>
      <c r="C429" s="16" t="s">
        <v>457</v>
      </c>
      <c r="D429" s="16" t="s">
        <v>23</v>
      </c>
      <c r="E429" s="16"/>
      <c r="F429" s="10" t="s">
        <v>391</v>
      </c>
      <c r="G429" s="33" t="s">
        <v>62</v>
      </c>
      <c r="H429" s="34"/>
      <c r="I429" s="12"/>
      <c r="J429" s="12">
        <v>150</v>
      </c>
      <c r="K429" s="12">
        <v>1400</v>
      </c>
      <c r="L429" s="12">
        <v>11517</v>
      </c>
      <c r="M429" s="11">
        <f>L429*4+AI429-AJ429</f>
        <v>44718</v>
      </c>
      <c r="N429" s="13">
        <v>2303</v>
      </c>
      <c r="O429" s="12"/>
      <c r="P429" s="12"/>
      <c r="Q429" s="12"/>
      <c r="R429" s="12"/>
      <c r="S429" s="12">
        <v>45315</v>
      </c>
      <c r="T429" s="12"/>
      <c r="U429" s="12"/>
      <c r="V429" s="12"/>
      <c r="W429" s="12"/>
      <c r="X429" s="12"/>
      <c r="Y429" s="12"/>
      <c r="Z429" s="12"/>
      <c r="AA429" s="12"/>
      <c r="AB429" s="12"/>
      <c r="AC429" s="12"/>
      <c r="AD429" s="12"/>
      <c r="AE429" s="12"/>
      <c r="AF429" s="13">
        <f>H429+I429+J429+K429+M429-N429</f>
        <v>43965</v>
      </c>
      <c r="AG429" s="13">
        <f>SUM(O429:AE429)</f>
        <v>45315</v>
      </c>
      <c r="AH429" s="13">
        <f>AF429-AG429</f>
        <v>-1350</v>
      </c>
      <c r="AI429" s="12"/>
      <c r="AJ429" s="12">
        <v>1350</v>
      </c>
      <c r="AK429" s="12"/>
    </row>
    <row r="430" spans="1:37">
      <c r="A430" s="16">
        <v>31</v>
      </c>
      <c r="B430" s="18">
        <v>1973</v>
      </c>
      <c r="C430" s="17" t="s">
        <v>458</v>
      </c>
      <c r="D430" s="18" t="s">
        <v>23</v>
      </c>
      <c r="E430" s="18"/>
      <c r="F430" s="14" t="s">
        <v>391</v>
      </c>
      <c r="G430" s="18" t="s">
        <v>62</v>
      </c>
      <c r="H430" s="9"/>
      <c r="I430" s="12"/>
      <c r="J430" s="12">
        <v>150</v>
      </c>
      <c r="K430" s="12">
        <v>0</v>
      </c>
      <c r="L430" s="12">
        <v>0</v>
      </c>
      <c r="M430" s="11">
        <f>L430*4+AI430-AJ430</f>
        <v>0</v>
      </c>
      <c r="N430" s="13"/>
      <c r="O430" s="12"/>
      <c r="P430" s="12"/>
      <c r="Q430" s="12"/>
      <c r="R430" s="12"/>
      <c r="S430" s="12"/>
      <c r="T430" s="12"/>
      <c r="U430" s="12">
        <v>150</v>
      </c>
      <c r="V430" s="12"/>
      <c r="W430" s="12"/>
      <c r="X430" s="12"/>
      <c r="Y430" s="12"/>
      <c r="Z430" s="12"/>
      <c r="AA430" s="12"/>
      <c r="AB430" s="12"/>
      <c r="AC430" s="12"/>
      <c r="AD430" s="12"/>
      <c r="AE430" s="12"/>
      <c r="AF430" s="13">
        <f>H430+I430+J430+K430+M430-N430</f>
        <v>150</v>
      </c>
      <c r="AG430" s="13">
        <f>SUM(O430:AE430)</f>
        <v>150</v>
      </c>
      <c r="AH430" s="13">
        <f>AF430-AG430</f>
        <v>0</v>
      </c>
      <c r="AI430" s="12"/>
      <c r="AJ430" s="12"/>
      <c r="AK430" s="12"/>
    </row>
    <row r="431" spans="1:37">
      <c r="A431" s="16">
        <v>32</v>
      </c>
      <c r="B431" s="12">
        <v>1409</v>
      </c>
      <c r="C431" s="16" t="s">
        <v>459</v>
      </c>
      <c r="D431" s="12" t="s">
        <v>28</v>
      </c>
      <c r="E431" s="12"/>
      <c r="F431" s="10" t="s">
        <v>391</v>
      </c>
      <c r="G431" s="12" t="s">
        <v>62</v>
      </c>
      <c r="H431" s="12"/>
      <c r="I431" s="12"/>
      <c r="J431" s="12">
        <v>150</v>
      </c>
      <c r="K431" s="12">
        <v>1400</v>
      </c>
      <c r="L431" s="12">
        <v>11517</v>
      </c>
      <c r="M431" s="11">
        <f>L431*4+AI431-AJ431</f>
        <v>46068</v>
      </c>
      <c r="N431" s="13"/>
      <c r="O431" s="12"/>
      <c r="P431" s="12"/>
      <c r="Q431" s="12"/>
      <c r="R431" s="12"/>
      <c r="S431" s="12"/>
      <c r="T431" s="12">
        <v>12017</v>
      </c>
      <c r="U431" s="12"/>
      <c r="V431" s="12"/>
      <c r="W431" s="12"/>
      <c r="X431" s="12"/>
      <c r="Y431" s="12"/>
      <c r="Z431" s="12"/>
      <c r="AA431" s="12"/>
      <c r="AB431" s="12"/>
      <c r="AC431" s="12"/>
      <c r="AD431" s="12"/>
      <c r="AE431" s="12"/>
      <c r="AF431" s="13">
        <f>H431+I431+J431+K431+M431-N431</f>
        <v>47618</v>
      </c>
      <c r="AG431" s="13">
        <f>SUM(O431:AE431)</f>
        <v>12017</v>
      </c>
      <c r="AH431" s="13">
        <f>AF431-AG431</f>
        <v>35601</v>
      </c>
      <c r="AI431" s="12"/>
      <c r="AJ431" s="12"/>
      <c r="AK431" s="12"/>
    </row>
    <row r="432" spans="1:37">
      <c r="A432" s="16">
        <v>33</v>
      </c>
      <c r="B432" s="12">
        <v>1430</v>
      </c>
      <c r="C432" s="16" t="s">
        <v>460</v>
      </c>
      <c r="D432" s="12" t="s">
        <v>23</v>
      </c>
      <c r="E432" s="12"/>
      <c r="F432" s="10" t="s">
        <v>391</v>
      </c>
      <c r="G432" s="12" t="s">
        <v>62</v>
      </c>
      <c r="H432" s="12"/>
      <c r="I432" s="12"/>
      <c r="J432" s="12">
        <v>150</v>
      </c>
      <c r="K432" s="12">
        <v>1400</v>
      </c>
      <c r="L432" s="12">
        <v>11517</v>
      </c>
      <c r="M432" s="11">
        <f>L432*4+AI432-AJ432</f>
        <v>46068</v>
      </c>
      <c r="N432" s="13"/>
      <c r="O432" s="12"/>
      <c r="P432" s="12"/>
      <c r="Q432" s="12"/>
      <c r="R432" s="12"/>
      <c r="S432" s="12">
        <v>12017</v>
      </c>
      <c r="T432" s="12"/>
      <c r="U432" s="12"/>
      <c r="V432" s="12"/>
      <c r="W432" s="12"/>
      <c r="X432" s="12"/>
      <c r="Y432" s="12"/>
      <c r="Z432" s="12"/>
      <c r="AA432" s="12"/>
      <c r="AB432" s="12"/>
      <c r="AC432" s="12"/>
      <c r="AD432" s="12"/>
      <c r="AE432" s="12"/>
      <c r="AF432" s="13">
        <f>H432+I432+J432+K432+M432-N432</f>
        <v>47618</v>
      </c>
      <c r="AG432" s="13">
        <f>SUM(O432:AE432)</f>
        <v>12017</v>
      </c>
      <c r="AH432" s="13">
        <f>AF432-AG432</f>
        <v>35601</v>
      </c>
      <c r="AI432" s="12"/>
      <c r="AJ432" s="12"/>
      <c r="AK432" s="12"/>
    </row>
    <row r="433" spans="1:37">
      <c r="A433" s="16">
        <v>34</v>
      </c>
      <c r="B433" s="12">
        <v>1463</v>
      </c>
      <c r="C433" s="16" t="s">
        <v>461</v>
      </c>
      <c r="D433" s="12" t="s">
        <v>28</v>
      </c>
      <c r="E433" s="12"/>
      <c r="F433" s="10" t="s">
        <v>391</v>
      </c>
      <c r="G433" s="12" t="s">
        <v>62</v>
      </c>
      <c r="H433" s="12"/>
      <c r="I433" s="12"/>
      <c r="J433" s="12">
        <v>150</v>
      </c>
      <c r="K433" s="12">
        <v>1400</v>
      </c>
      <c r="L433" s="12">
        <v>11517</v>
      </c>
      <c r="M433" s="11">
        <f>L433*4+AI433-AJ433</f>
        <v>46068</v>
      </c>
      <c r="N433" s="13"/>
      <c r="O433" s="12"/>
      <c r="P433" s="12"/>
      <c r="Q433" s="12"/>
      <c r="R433" s="12"/>
      <c r="S433" s="12">
        <v>12017</v>
      </c>
      <c r="T433" s="12">
        <v>1000</v>
      </c>
      <c r="U433" s="12"/>
      <c r="V433" s="12"/>
      <c r="W433" s="12"/>
      <c r="X433" s="12"/>
      <c r="Y433" s="12"/>
      <c r="Z433" s="12"/>
      <c r="AA433" s="12"/>
      <c r="AB433" s="12"/>
      <c r="AC433" s="12"/>
      <c r="AD433" s="12"/>
      <c r="AE433" s="12"/>
      <c r="AF433" s="13">
        <f>H433+I433+J433+K433+M433-N433</f>
        <v>47618</v>
      </c>
      <c r="AG433" s="13">
        <f>SUM(O433:AE433)</f>
        <v>13017</v>
      </c>
      <c r="AH433" s="13">
        <f>AF433-AG433</f>
        <v>34601</v>
      </c>
      <c r="AI433" s="12"/>
      <c r="AJ433" s="12"/>
      <c r="AK433" s="12"/>
    </row>
    <row r="434" spans="1:37">
      <c r="A434" s="16">
        <v>35</v>
      </c>
      <c r="B434" s="17">
        <v>1972</v>
      </c>
      <c r="C434" s="17" t="s">
        <v>462</v>
      </c>
      <c r="D434" s="17" t="s">
        <v>23</v>
      </c>
      <c r="E434" s="17"/>
      <c r="F434" s="14" t="s">
        <v>391</v>
      </c>
      <c r="G434" s="17" t="s">
        <v>62</v>
      </c>
      <c r="H434" s="9"/>
      <c r="I434" s="12"/>
      <c r="J434" s="12">
        <v>150</v>
      </c>
      <c r="K434" s="12">
        <v>0</v>
      </c>
      <c r="L434" s="12">
        <v>0</v>
      </c>
      <c r="M434" s="11">
        <f>L434*4+AI434-AJ434</f>
        <v>0</v>
      </c>
      <c r="N434" s="13"/>
      <c r="O434" s="12"/>
      <c r="P434" s="12"/>
      <c r="Q434" s="12"/>
      <c r="R434" s="12"/>
      <c r="S434" s="12"/>
      <c r="T434" s="12"/>
      <c r="U434" s="12">
        <v>150</v>
      </c>
      <c r="V434" s="12"/>
      <c r="W434" s="12"/>
      <c r="X434" s="12"/>
      <c r="Y434" s="12"/>
      <c r="Z434" s="12"/>
      <c r="AA434" s="12"/>
      <c r="AB434" s="12"/>
      <c r="AC434" s="12"/>
      <c r="AD434" s="12"/>
      <c r="AE434" s="12"/>
      <c r="AF434" s="13">
        <f>H434+I434+J434+K434+M434-N434</f>
        <v>150</v>
      </c>
      <c r="AG434" s="13">
        <f>SUM(O434:AE434)</f>
        <v>150</v>
      </c>
      <c r="AH434" s="13">
        <f>AF434-AG434</f>
        <v>0</v>
      </c>
      <c r="AI434" s="12"/>
      <c r="AJ434" s="12"/>
      <c r="AK434" s="12"/>
    </row>
    <row r="435" spans="1:37">
      <c r="A435" s="16">
        <v>36</v>
      </c>
      <c r="B435" s="19">
        <v>2263</v>
      </c>
      <c r="C435" s="19" t="s">
        <v>463</v>
      </c>
      <c r="D435" s="19" t="s">
        <v>28</v>
      </c>
      <c r="E435" s="19" t="s">
        <v>24</v>
      </c>
      <c r="F435" s="21" t="s">
        <v>391</v>
      </c>
      <c r="G435" s="19" t="s">
        <v>62</v>
      </c>
      <c r="H435" s="9">
        <v>5000</v>
      </c>
      <c r="I435" s="12">
        <v>1200</v>
      </c>
      <c r="J435" s="12">
        <v>150</v>
      </c>
      <c r="K435" s="12">
        <v>1400</v>
      </c>
      <c r="L435" s="12">
        <v>11517</v>
      </c>
      <c r="M435" s="11">
        <f>L435*4+AI435-AJ435</f>
        <v>46068</v>
      </c>
      <c r="N435" s="13">
        <v>2303</v>
      </c>
      <c r="O435" s="12">
        <v>5000</v>
      </c>
      <c r="P435" s="12">
        <v>1200</v>
      </c>
      <c r="Q435" s="12"/>
      <c r="R435" s="12"/>
      <c r="S435" s="12">
        <v>45315</v>
      </c>
      <c r="T435" s="12"/>
      <c r="U435" s="12"/>
      <c r="V435" s="12"/>
      <c r="W435" s="12"/>
      <c r="X435" s="12"/>
      <c r="Y435" s="12"/>
      <c r="Z435" s="12"/>
      <c r="AA435" s="12"/>
      <c r="AB435" s="12"/>
      <c r="AC435" s="12"/>
      <c r="AD435" s="12"/>
      <c r="AE435" s="12"/>
      <c r="AF435" s="13">
        <f>H435+I435+J435+K435+M435-N435</f>
        <v>51515</v>
      </c>
      <c r="AG435" s="13">
        <f>SUM(O435:AE435)</f>
        <v>51515</v>
      </c>
      <c r="AH435" s="13">
        <f>AF435-AG435</f>
        <v>0</v>
      </c>
      <c r="AI435" s="12"/>
      <c r="AJ435" s="12"/>
      <c r="AK435" s="12"/>
    </row>
    <row r="436" spans="1:37">
      <c r="A436" s="16">
        <v>37</v>
      </c>
      <c r="B436" s="12">
        <v>1425</v>
      </c>
      <c r="C436" s="16" t="s">
        <v>464</v>
      </c>
      <c r="D436" s="12" t="s">
        <v>28</v>
      </c>
      <c r="E436" s="12"/>
      <c r="F436" s="10" t="s">
        <v>391</v>
      </c>
      <c r="G436" s="12" t="s">
        <v>62</v>
      </c>
      <c r="H436" s="12"/>
      <c r="I436" s="12"/>
      <c r="J436" s="12">
        <v>150</v>
      </c>
      <c r="K436" s="12">
        <v>1400</v>
      </c>
      <c r="L436" s="12">
        <v>11517</v>
      </c>
      <c r="M436" s="11">
        <f>L436*4+AI436-AJ436</f>
        <v>46068</v>
      </c>
      <c r="N436" s="13"/>
      <c r="O436" s="12"/>
      <c r="P436" s="12"/>
      <c r="Q436" s="12"/>
      <c r="R436" s="12"/>
      <c r="S436" s="12">
        <v>12017</v>
      </c>
      <c r="T436" s="12"/>
      <c r="U436" s="12"/>
      <c r="V436" s="12"/>
      <c r="W436" s="12"/>
      <c r="X436" s="12"/>
      <c r="Y436" s="12"/>
      <c r="Z436" s="12"/>
      <c r="AA436" s="12"/>
      <c r="AB436" s="12"/>
      <c r="AC436" s="12"/>
      <c r="AD436" s="12"/>
      <c r="AE436" s="12"/>
      <c r="AF436" s="13">
        <f>H436+I436+J436+K436+M436-N436</f>
        <v>47618</v>
      </c>
      <c r="AG436" s="13">
        <f>SUM(O436:AE436)</f>
        <v>12017</v>
      </c>
      <c r="AH436" s="13">
        <f>AF436-AG436</f>
        <v>35601</v>
      </c>
      <c r="AI436" s="12"/>
      <c r="AJ436" s="12"/>
      <c r="AK436" s="12"/>
    </row>
    <row r="437" spans="1:37">
      <c r="A437" s="16">
        <v>1</v>
      </c>
      <c r="B437" s="12">
        <v>1314</v>
      </c>
      <c r="C437" s="16" t="s">
        <v>465</v>
      </c>
      <c r="D437" s="12" t="s">
        <v>23</v>
      </c>
      <c r="E437" s="12"/>
      <c r="F437" s="16" t="s">
        <v>466</v>
      </c>
      <c r="G437" s="12" t="s">
        <v>26</v>
      </c>
      <c r="H437" s="9"/>
      <c r="I437" s="12"/>
      <c r="J437" s="12">
        <v>150</v>
      </c>
      <c r="K437" s="12">
        <v>1400</v>
      </c>
      <c r="L437" s="12">
        <v>11517</v>
      </c>
      <c r="M437" s="11">
        <f>L437*4+AI437-AJ437</f>
        <v>46068</v>
      </c>
      <c r="N437" s="13"/>
      <c r="O437" s="12"/>
      <c r="P437" s="12"/>
      <c r="Q437" s="12"/>
      <c r="R437" s="12"/>
      <c r="S437" s="12"/>
      <c r="T437" s="12">
        <v>12017</v>
      </c>
      <c r="U437" s="12"/>
      <c r="V437" s="12"/>
      <c r="W437" s="12"/>
      <c r="X437" s="12"/>
      <c r="Y437" s="12"/>
      <c r="Z437" s="12"/>
      <c r="AA437" s="12"/>
      <c r="AB437" s="12"/>
      <c r="AC437" s="12"/>
      <c r="AD437" s="12"/>
      <c r="AE437" s="12"/>
      <c r="AF437" s="13">
        <f>H437+I437+J437+K437+M437-N437</f>
        <v>47618</v>
      </c>
      <c r="AG437" s="13">
        <f>SUM(O437:AE437)</f>
        <v>12017</v>
      </c>
      <c r="AH437" s="13">
        <f>AF437-AG437</f>
        <v>35601</v>
      </c>
      <c r="AI437" s="12"/>
      <c r="AJ437" s="12"/>
      <c r="AK437" s="12"/>
    </row>
    <row r="438" spans="1:37">
      <c r="A438" s="16">
        <v>2</v>
      </c>
      <c r="B438" s="12">
        <v>1432</v>
      </c>
      <c r="C438" s="16" t="s">
        <v>467</v>
      </c>
      <c r="D438" s="12" t="s">
        <v>23</v>
      </c>
      <c r="E438" s="12"/>
      <c r="F438" s="16" t="s">
        <v>466</v>
      </c>
      <c r="G438" s="12" t="s">
        <v>26</v>
      </c>
      <c r="H438" s="9"/>
      <c r="I438" s="12"/>
      <c r="J438" s="12">
        <v>150</v>
      </c>
      <c r="K438" s="12">
        <v>1400</v>
      </c>
      <c r="L438" s="12">
        <v>11517</v>
      </c>
      <c r="M438" s="11">
        <f>L438*4+AI438-AJ438</f>
        <v>46068</v>
      </c>
      <c r="N438" s="13"/>
      <c r="O438" s="12"/>
      <c r="P438" s="12"/>
      <c r="Q438" s="12"/>
      <c r="R438" s="12"/>
      <c r="S438" s="12"/>
      <c r="T438" s="12">
        <v>12017</v>
      </c>
      <c r="U438" s="12"/>
      <c r="V438" s="12"/>
      <c r="W438" s="12"/>
      <c r="X438" s="12"/>
      <c r="Y438" s="12"/>
      <c r="Z438" s="12"/>
      <c r="AA438" s="12"/>
      <c r="AB438" s="12"/>
      <c r="AC438" s="12"/>
      <c r="AD438" s="12"/>
      <c r="AE438" s="12"/>
      <c r="AF438" s="13">
        <f>H438+I438+J438+K438+M438-N438</f>
        <v>47618</v>
      </c>
      <c r="AG438" s="13">
        <f>SUM(O438:AE438)</f>
        <v>12017</v>
      </c>
      <c r="AH438" s="13">
        <f>AF438-AG438</f>
        <v>35601</v>
      </c>
      <c r="AI438" s="12"/>
      <c r="AJ438" s="12"/>
      <c r="AK438" s="12"/>
    </row>
    <row r="439" spans="1:37">
      <c r="A439" s="16">
        <v>3</v>
      </c>
      <c r="B439" s="12">
        <v>1547</v>
      </c>
      <c r="C439" s="16" t="s">
        <v>468</v>
      </c>
      <c r="D439" s="12" t="s">
        <v>23</v>
      </c>
      <c r="E439" s="12"/>
      <c r="F439" s="16" t="s">
        <v>466</v>
      </c>
      <c r="G439" s="12" t="s">
        <v>26</v>
      </c>
      <c r="H439" s="9"/>
      <c r="I439" s="12"/>
      <c r="J439" s="12">
        <v>150</v>
      </c>
      <c r="K439" s="12">
        <v>1400</v>
      </c>
      <c r="L439" s="12">
        <v>11517</v>
      </c>
      <c r="M439" s="11">
        <f>L439*4+AI439-AJ439</f>
        <v>46068</v>
      </c>
      <c r="N439" s="13"/>
      <c r="O439" s="12"/>
      <c r="P439" s="12"/>
      <c r="Q439" s="12"/>
      <c r="R439" s="12"/>
      <c r="S439" s="12"/>
      <c r="T439" s="12"/>
      <c r="U439" s="12">
        <v>12017</v>
      </c>
      <c r="V439" s="12"/>
      <c r="W439" s="12"/>
      <c r="X439" s="12"/>
      <c r="Y439" s="12"/>
      <c r="Z439" s="12"/>
      <c r="AA439" s="12"/>
      <c r="AB439" s="12"/>
      <c r="AC439" s="12"/>
      <c r="AD439" s="12"/>
      <c r="AE439" s="12"/>
      <c r="AF439" s="13">
        <f>H439+I439+J439+K439+M439-N439</f>
        <v>47618</v>
      </c>
      <c r="AG439" s="13">
        <f>SUM(O439:AE439)</f>
        <v>12017</v>
      </c>
      <c r="AH439" s="13">
        <f>AF439-AG439</f>
        <v>35601</v>
      </c>
      <c r="AI439" s="12"/>
      <c r="AJ439" s="12"/>
      <c r="AK439" s="12"/>
    </row>
    <row r="440" spans="1:37">
      <c r="A440" s="16">
        <v>4</v>
      </c>
      <c r="B440" s="12">
        <v>1309</v>
      </c>
      <c r="C440" s="16" t="s">
        <v>469</v>
      </c>
      <c r="D440" s="12" t="s">
        <v>28</v>
      </c>
      <c r="E440" s="12"/>
      <c r="F440" s="16" t="s">
        <v>466</v>
      </c>
      <c r="G440" s="12" t="s">
        <v>26</v>
      </c>
      <c r="H440" s="9"/>
      <c r="I440" s="12"/>
      <c r="J440" s="12">
        <v>150</v>
      </c>
      <c r="K440" s="12">
        <v>1400</v>
      </c>
      <c r="L440" s="12">
        <v>11517</v>
      </c>
      <c r="M440" s="11">
        <f>L440*4+AI440-AJ440</f>
        <v>46068</v>
      </c>
      <c r="N440" s="13"/>
      <c r="O440" s="12"/>
      <c r="P440" s="12"/>
      <c r="Q440" s="12"/>
      <c r="R440" s="12"/>
      <c r="S440" s="12">
        <v>12017</v>
      </c>
      <c r="T440" s="12"/>
      <c r="U440" s="12"/>
      <c r="V440" s="12">
        <v>11867</v>
      </c>
      <c r="W440" s="12"/>
      <c r="X440" s="12"/>
      <c r="Y440" s="12"/>
      <c r="Z440" s="12"/>
      <c r="AA440" s="12"/>
      <c r="AB440" s="12"/>
      <c r="AC440" s="12"/>
      <c r="AD440" s="12"/>
      <c r="AE440" s="12"/>
      <c r="AF440" s="13">
        <f>H440+I440+J440+K440+M440-N440</f>
        <v>47618</v>
      </c>
      <c r="AG440" s="13">
        <f>SUM(O440:AE440)</f>
        <v>23884</v>
      </c>
      <c r="AH440" s="13">
        <f>AF440-AG440</f>
        <v>23734</v>
      </c>
      <c r="AI440" s="12"/>
      <c r="AJ440" s="12"/>
      <c r="AK440" s="12"/>
    </row>
    <row r="441" spans="1:37">
      <c r="A441" s="16">
        <v>5</v>
      </c>
      <c r="B441" s="12">
        <v>1254</v>
      </c>
      <c r="C441" s="16" t="s">
        <v>470</v>
      </c>
      <c r="D441" s="12" t="s">
        <v>23</v>
      </c>
      <c r="E441" s="12"/>
      <c r="F441" s="16" t="s">
        <v>466</v>
      </c>
      <c r="G441" s="12" t="s">
        <v>26</v>
      </c>
      <c r="H441" s="9"/>
      <c r="I441" s="12"/>
      <c r="J441" s="12">
        <v>150</v>
      </c>
      <c r="K441" s="12">
        <v>1400</v>
      </c>
      <c r="L441" s="12">
        <v>11517</v>
      </c>
      <c r="M441" s="11">
        <f>L441*4+AI441-AJ441</f>
        <v>46068</v>
      </c>
      <c r="N441" s="13"/>
      <c r="O441" s="12"/>
      <c r="P441" s="12"/>
      <c r="Q441" s="12"/>
      <c r="R441" s="12"/>
      <c r="S441" s="12">
        <v>12017</v>
      </c>
      <c r="T441" s="12"/>
      <c r="U441" s="12"/>
      <c r="V441" s="12"/>
      <c r="W441" s="12"/>
      <c r="X441" s="12"/>
      <c r="Y441" s="12"/>
      <c r="Z441" s="12"/>
      <c r="AA441" s="12"/>
      <c r="AB441" s="12"/>
      <c r="AC441" s="12"/>
      <c r="AD441" s="12"/>
      <c r="AE441" s="12"/>
      <c r="AF441" s="13">
        <f>H441+I441+J441+K441+M441-N441</f>
        <v>47618</v>
      </c>
      <c r="AG441" s="13">
        <f>SUM(O441:AE441)</f>
        <v>12017</v>
      </c>
      <c r="AH441" s="13">
        <f>AF441-AG441</f>
        <v>35601</v>
      </c>
      <c r="AI441" s="12"/>
      <c r="AJ441" s="12"/>
      <c r="AK441" s="12"/>
    </row>
    <row r="442" spans="1:37">
      <c r="A442" s="16">
        <v>6</v>
      </c>
      <c r="B442" s="12">
        <v>1407</v>
      </c>
      <c r="C442" s="16" t="s">
        <v>471</v>
      </c>
      <c r="D442" s="12" t="s">
        <v>23</v>
      </c>
      <c r="E442" s="12"/>
      <c r="F442" s="16" t="s">
        <v>466</v>
      </c>
      <c r="G442" s="12" t="s">
        <v>26</v>
      </c>
      <c r="H442" s="9"/>
      <c r="I442" s="12"/>
      <c r="J442" s="12">
        <v>150</v>
      </c>
      <c r="K442" s="12">
        <v>1400</v>
      </c>
      <c r="L442" s="12">
        <v>11517</v>
      </c>
      <c r="M442" s="11">
        <f>L442*4+AI442-AJ442</f>
        <v>46068</v>
      </c>
      <c r="N442" s="13"/>
      <c r="O442" s="12"/>
      <c r="P442" s="12"/>
      <c r="Q442" s="12"/>
      <c r="R442" s="12"/>
      <c r="S442" s="12"/>
      <c r="T442" s="12">
        <v>12017</v>
      </c>
      <c r="U442" s="12"/>
      <c r="V442" s="12"/>
      <c r="W442" s="12"/>
      <c r="X442" s="12"/>
      <c r="Y442" s="12"/>
      <c r="Z442" s="12"/>
      <c r="AA442" s="12"/>
      <c r="AB442" s="12"/>
      <c r="AC442" s="12"/>
      <c r="AD442" s="12"/>
      <c r="AE442" s="12"/>
      <c r="AF442" s="13">
        <f>H442+I442+J442+K442+M442-N442</f>
        <v>47618</v>
      </c>
      <c r="AG442" s="13">
        <f>SUM(O442:AE442)</f>
        <v>12017</v>
      </c>
      <c r="AH442" s="13">
        <f>AF442-AG442</f>
        <v>35601</v>
      </c>
      <c r="AI442" s="12"/>
      <c r="AJ442" s="12"/>
      <c r="AK442" s="12"/>
    </row>
    <row r="443" spans="1:37">
      <c r="A443" s="16">
        <v>7</v>
      </c>
      <c r="B443" s="24">
        <v>2257</v>
      </c>
      <c r="C443" s="23" t="s">
        <v>472</v>
      </c>
      <c r="D443" s="24" t="s">
        <v>28</v>
      </c>
      <c r="E443" s="24" t="s">
        <v>24</v>
      </c>
      <c r="F443" s="23" t="s">
        <v>466</v>
      </c>
      <c r="G443" s="24" t="s">
        <v>26</v>
      </c>
      <c r="H443" s="9">
        <v>5000</v>
      </c>
      <c r="I443" s="12">
        <v>1200</v>
      </c>
      <c r="J443" s="12">
        <v>150</v>
      </c>
      <c r="K443" s="12">
        <v>1400</v>
      </c>
      <c r="L443" s="12">
        <v>5759</v>
      </c>
      <c r="M443" s="11">
        <f>L443*4+AI443-AJ443</f>
        <v>23036</v>
      </c>
      <c r="N443" s="13"/>
      <c r="O443" s="12">
        <v>5000</v>
      </c>
      <c r="P443" s="12">
        <v>1200</v>
      </c>
      <c r="Q443" s="12"/>
      <c r="R443" s="12"/>
      <c r="S443" s="11">
        <f>5759+1400+150</f>
        <v>7309</v>
      </c>
      <c r="T443" s="12"/>
      <c r="U443" s="12"/>
      <c r="V443" s="12">
        <v>1920</v>
      </c>
      <c r="W443" s="12"/>
      <c r="X443" s="12"/>
      <c r="Y443" s="12"/>
      <c r="Z443" s="12"/>
      <c r="AA443" s="12"/>
      <c r="AB443" s="12"/>
      <c r="AC443" s="12"/>
      <c r="AD443" s="12"/>
      <c r="AE443" s="12"/>
      <c r="AF443" s="13">
        <f>H443+I443+J443+K443+M443-N443</f>
        <v>30786</v>
      </c>
      <c r="AG443" s="13">
        <f>SUM(O443:AE443)</f>
        <v>15429</v>
      </c>
      <c r="AH443" s="13">
        <f>AF443-AG443</f>
        <v>15357</v>
      </c>
      <c r="AI443" s="12"/>
      <c r="AJ443" s="12"/>
      <c r="AK443" s="12"/>
    </row>
    <row r="444" spans="1:37">
      <c r="A444" s="16">
        <v>8</v>
      </c>
      <c r="B444" s="12">
        <v>1299</v>
      </c>
      <c r="C444" s="16" t="s">
        <v>473</v>
      </c>
      <c r="D444" s="12" t="s">
        <v>23</v>
      </c>
      <c r="E444" s="12"/>
      <c r="F444" s="16" t="s">
        <v>466</v>
      </c>
      <c r="G444" s="12" t="s">
        <v>26</v>
      </c>
      <c r="H444" s="9"/>
      <c r="I444" s="12"/>
      <c r="J444" s="12">
        <v>150</v>
      </c>
      <c r="K444" s="12">
        <v>1400</v>
      </c>
      <c r="L444" s="12">
        <v>11517</v>
      </c>
      <c r="M444" s="11">
        <f>L444*4+AI444-AJ444</f>
        <v>45591</v>
      </c>
      <c r="N444" s="13"/>
      <c r="O444" s="12"/>
      <c r="P444" s="12"/>
      <c r="Q444" s="12"/>
      <c r="R444" s="12"/>
      <c r="S444" s="12"/>
      <c r="T444" s="12">
        <v>12017</v>
      </c>
      <c r="U444" s="12"/>
      <c r="V444" s="12"/>
      <c r="W444" s="12"/>
      <c r="X444" s="12"/>
      <c r="Y444" s="12"/>
      <c r="Z444" s="12"/>
      <c r="AA444" s="12"/>
      <c r="AB444" s="12"/>
      <c r="AC444" s="12"/>
      <c r="AD444" s="12"/>
      <c r="AE444" s="12"/>
      <c r="AF444" s="13">
        <f>H444+I444+J444+K444+M444-N444</f>
        <v>47141</v>
      </c>
      <c r="AG444" s="13">
        <f>SUM(O444:AE444)</f>
        <v>12017</v>
      </c>
      <c r="AH444" s="13">
        <f>AF444-AG444</f>
        <v>35124</v>
      </c>
      <c r="AI444" s="12"/>
      <c r="AJ444" s="12">
        <v>477</v>
      </c>
      <c r="AK444" s="12"/>
    </row>
    <row r="445" spans="1:37">
      <c r="A445" s="16">
        <v>9</v>
      </c>
      <c r="B445" s="16">
        <v>1985</v>
      </c>
      <c r="C445" s="12" t="s">
        <v>474</v>
      </c>
      <c r="D445" s="16" t="s">
        <v>23</v>
      </c>
      <c r="E445" s="12"/>
      <c r="F445" s="16" t="s">
        <v>466</v>
      </c>
      <c r="G445" s="33" t="s">
        <v>26</v>
      </c>
      <c r="H445" s="9"/>
      <c r="I445" s="12"/>
      <c r="J445" s="12">
        <v>150</v>
      </c>
      <c r="K445" s="12">
        <v>1400</v>
      </c>
      <c r="L445" s="12">
        <v>11517</v>
      </c>
      <c r="M445" s="11">
        <f>L445*4+AI445-AJ445</f>
        <v>46068</v>
      </c>
      <c r="N445" s="13"/>
      <c r="O445" s="12"/>
      <c r="P445" s="12"/>
      <c r="Q445" s="12"/>
      <c r="R445" s="12"/>
      <c r="S445" s="12">
        <v>12017</v>
      </c>
      <c r="T445" s="12"/>
      <c r="U445" s="12"/>
      <c r="V445" s="12">
        <v>11867</v>
      </c>
      <c r="W445" s="12"/>
      <c r="X445" s="12"/>
      <c r="Y445" s="12"/>
      <c r="Z445" s="12"/>
      <c r="AA445" s="12"/>
      <c r="AB445" s="12"/>
      <c r="AC445" s="12"/>
      <c r="AD445" s="12"/>
      <c r="AE445" s="12"/>
      <c r="AF445" s="13">
        <f>H445+I445+J445+K445+M445-N445</f>
        <v>47618</v>
      </c>
      <c r="AG445" s="13">
        <f>SUM(O445:AE445)</f>
        <v>23884</v>
      </c>
      <c r="AH445" s="13">
        <f>AF445-AG445</f>
        <v>23734</v>
      </c>
      <c r="AI445" s="12"/>
      <c r="AJ445" s="12"/>
      <c r="AK445" s="12"/>
    </row>
    <row r="446" spans="1:37">
      <c r="A446" s="16">
        <v>10</v>
      </c>
      <c r="B446" s="12">
        <v>1298</v>
      </c>
      <c r="C446" s="16" t="s">
        <v>475</v>
      </c>
      <c r="D446" s="12" t="s">
        <v>28</v>
      </c>
      <c r="E446" s="12"/>
      <c r="F446" s="16" t="s">
        <v>466</v>
      </c>
      <c r="G446" s="12" t="s">
        <v>26</v>
      </c>
      <c r="H446" s="9"/>
      <c r="I446" s="12"/>
      <c r="J446" s="12">
        <v>150</v>
      </c>
      <c r="K446" s="12">
        <v>1400</v>
      </c>
      <c r="L446" s="12">
        <v>11517</v>
      </c>
      <c r="M446" s="11">
        <f>L446*4+AI446-AJ446</f>
        <v>46068</v>
      </c>
      <c r="N446" s="13"/>
      <c r="O446" s="12"/>
      <c r="P446" s="12"/>
      <c r="Q446" s="12"/>
      <c r="R446" s="12"/>
      <c r="S446" s="12"/>
      <c r="T446" s="12">
        <v>12017</v>
      </c>
      <c r="U446" s="12"/>
      <c r="V446" s="12"/>
      <c r="W446" s="12"/>
      <c r="X446" s="12"/>
      <c r="Y446" s="12"/>
      <c r="Z446" s="12"/>
      <c r="AA446" s="12"/>
      <c r="AB446" s="12"/>
      <c r="AC446" s="12"/>
      <c r="AD446" s="12"/>
      <c r="AE446" s="12"/>
      <c r="AF446" s="13">
        <f>H446+I446+J446+K446+M446-N446</f>
        <v>47618</v>
      </c>
      <c r="AG446" s="13">
        <f>SUM(O446:AE446)</f>
        <v>12017</v>
      </c>
      <c r="AH446" s="13">
        <f>AF446-AG446</f>
        <v>35601</v>
      </c>
      <c r="AI446" s="12"/>
      <c r="AJ446" s="12"/>
      <c r="AK446" s="12"/>
    </row>
    <row r="447" spans="1:37">
      <c r="A447" s="16">
        <v>11</v>
      </c>
      <c r="B447" s="12">
        <v>1311</v>
      </c>
      <c r="C447" s="16" t="s">
        <v>476</v>
      </c>
      <c r="D447" s="12" t="s">
        <v>28</v>
      </c>
      <c r="E447" s="12"/>
      <c r="F447" s="16" t="s">
        <v>466</v>
      </c>
      <c r="G447" s="12" t="s">
        <v>26</v>
      </c>
      <c r="H447" s="9"/>
      <c r="I447" s="12"/>
      <c r="J447" s="12">
        <v>150</v>
      </c>
      <c r="K447" s="12">
        <v>1400</v>
      </c>
      <c r="L447" s="12">
        <v>11517</v>
      </c>
      <c r="M447" s="11">
        <f>L447*4+AI447-AJ447</f>
        <v>45618</v>
      </c>
      <c r="N447" s="13"/>
      <c r="O447" s="12"/>
      <c r="P447" s="12"/>
      <c r="Q447" s="12"/>
      <c r="R447" s="12"/>
      <c r="S447" s="12">
        <v>12017</v>
      </c>
      <c r="T447" s="12"/>
      <c r="U447" s="12"/>
      <c r="V447" s="12"/>
      <c r="W447" s="12"/>
      <c r="X447" s="12"/>
      <c r="Y447" s="12"/>
      <c r="Z447" s="12"/>
      <c r="AA447" s="12"/>
      <c r="AB447" s="12"/>
      <c r="AC447" s="12"/>
      <c r="AD447" s="12"/>
      <c r="AE447" s="12"/>
      <c r="AF447" s="13">
        <f>H447+I447+J447+K447+M447-N447</f>
        <v>47168</v>
      </c>
      <c r="AG447" s="13">
        <f>SUM(O447:AE447)</f>
        <v>12017</v>
      </c>
      <c r="AH447" s="13">
        <f>AF447-AG447</f>
        <v>35151</v>
      </c>
      <c r="AI447" s="12"/>
      <c r="AJ447" s="12">
        <v>450</v>
      </c>
      <c r="AK447" s="12"/>
    </row>
    <row r="448" spans="1:37">
      <c r="A448" s="16">
        <v>12</v>
      </c>
      <c r="B448" s="12">
        <v>1539</v>
      </c>
      <c r="C448" s="16" t="s">
        <v>477</v>
      </c>
      <c r="D448" s="12" t="s">
        <v>28</v>
      </c>
      <c r="E448" s="12"/>
      <c r="F448" s="16" t="s">
        <v>466</v>
      </c>
      <c r="G448" s="12" t="s">
        <v>26</v>
      </c>
      <c r="H448" s="9"/>
      <c r="I448" s="12"/>
      <c r="J448" s="12">
        <v>150</v>
      </c>
      <c r="K448" s="12">
        <v>1400</v>
      </c>
      <c r="L448" s="12">
        <v>11517</v>
      </c>
      <c r="M448" s="11">
        <f>L448*4+AI448-AJ448</f>
        <v>46068</v>
      </c>
      <c r="N448" s="13"/>
      <c r="O448" s="12"/>
      <c r="P448" s="12"/>
      <c r="Q448" s="12"/>
      <c r="R448" s="12"/>
      <c r="S448" s="12"/>
      <c r="T448" s="12">
        <v>12017</v>
      </c>
      <c r="U448" s="12"/>
      <c r="V448" s="12"/>
      <c r="W448" s="12"/>
      <c r="X448" s="12"/>
      <c r="Y448" s="12"/>
      <c r="Z448" s="12"/>
      <c r="AA448" s="12"/>
      <c r="AB448" s="12"/>
      <c r="AC448" s="12"/>
      <c r="AD448" s="12"/>
      <c r="AE448" s="12"/>
      <c r="AF448" s="13">
        <f>H448+I448+J448+K448+M448-N448</f>
        <v>47618</v>
      </c>
      <c r="AG448" s="13">
        <f>SUM(O448:AE448)</f>
        <v>12017</v>
      </c>
      <c r="AH448" s="13">
        <f>AF448-AG448</f>
        <v>35601</v>
      </c>
      <c r="AI448" s="12"/>
      <c r="AJ448" s="12"/>
      <c r="AK448" s="12"/>
    </row>
    <row r="449" spans="1:37">
      <c r="A449" s="16">
        <v>13</v>
      </c>
      <c r="B449" s="18">
        <v>2080</v>
      </c>
      <c r="C449" s="17" t="s">
        <v>478</v>
      </c>
      <c r="D449" s="18" t="s">
        <v>28</v>
      </c>
      <c r="E449" s="18"/>
      <c r="F449" s="17" t="s">
        <v>466</v>
      </c>
      <c r="G449" s="18" t="s">
        <v>26</v>
      </c>
      <c r="H449" s="9"/>
      <c r="I449" s="12"/>
      <c r="J449" s="12">
        <v>150</v>
      </c>
      <c r="K449" s="12">
        <v>0</v>
      </c>
      <c r="L449" s="12">
        <v>0</v>
      </c>
      <c r="M449" s="11">
        <f>L449*4+AI449-AJ449</f>
        <v>-485</v>
      </c>
      <c r="N449" s="13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  <c r="AA449" s="12"/>
      <c r="AB449" s="12"/>
      <c r="AC449" s="12"/>
      <c r="AD449" s="12"/>
      <c r="AE449" s="12"/>
      <c r="AF449" s="13">
        <f>H449+I449+J449+K449+M449-N449</f>
        <v>-335</v>
      </c>
      <c r="AG449" s="13">
        <f>SUM(O449:AE449)</f>
        <v>0</v>
      </c>
      <c r="AH449" s="13">
        <f>AF449-AG449</f>
        <v>-335</v>
      </c>
      <c r="AI449" s="12"/>
      <c r="AJ449" s="12">
        <v>485</v>
      </c>
      <c r="AK449" s="12"/>
    </row>
    <row r="450" spans="1:37">
      <c r="A450" s="16">
        <v>14</v>
      </c>
      <c r="B450" s="12">
        <v>1310</v>
      </c>
      <c r="C450" s="16" t="s">
        <v>479</v>
      </c>
      <c r="D450" s="12" t="s">
        <v>23</v>
      </c>
      <c r="E450" s="12"/>
      <c r="F450" s="16" t="s">
        <v>466</v>
      </c>
      <c r="G450" s="12" t="s">
        <v>26</v>
      </c>
      <c r="H450" s="9"/>
      <c r="I450" s="12"/>
      <c r="J450" s="12">
        <v>150</v>
      </c>
      <c r="K450" s="12">
        <v>1400</v>
      </c>
      <c r="L450" s="12">
        <v>11517</v>
      </c>
      <c r="M450" s="11">
        <f>L450*4+AI450-AJ450</f>
        <v>46068</v>
      </c>
      <c r="N450" s="13"/>
      <c r="O450" s="12"/>
      <c r="P450" s="12"/>
      <c r="Q450" s="12"/>
      <c r="R450" s="12"/>
      <c r="S450" s="12">
        <v>12017</v>
      </c>
      <c r="T450" s="12"/>
      <c r="U450" s="12"/>
      <c r="V450" s="12">
        <v>11867</v>
      </c>
      <c r="W450" s="12"/>
      <c r="X450" s="12"/>
      <c r="Y450" s="12"/>
      <c r="Z450" s="12"/>
      <c r="AA450" s="12"/>
      <c r="AB450" s="12"/>
      <c r="AC450" s="12"/>
      <c r="AD450" s="12"/>
      <c r="AE450" s="12"/>
      <c r="AF450" s="13">
        <f>H450+I450+J450+K450+M450-N450</f>
        <v>47618</v>
      </c>
      <c r="AG450" s="13">
        <f>SUM(O450:AE450)</f>
        <v>23884</v>
      </c>
      <c r="AH450" s="13">
        <f>AF450-AG450</f>
        <v>23734</v>
      </c>
      <c r="AI450" s="12"/>
      <c r="AJ450" s="12"/>
      <c r="AK450" s="12"/>
    </row>
    <row r="451" spans="1:37">
      <c r="A451" s="16">
        <v>15</v>
      </c>
      <c r="B451" s="12">
        <v>1304</v>
      </c>
      <c r="C451" s="16" t="s">
        <v>480</v>
      </c>
      <c r="D451" s="12" t="s">
        <v>28</v>
      </c>
      <c r="E451" s="12"/>
      <c r="F451" s="16" t="s">
        <v>466</v>
      </c>
      <c r="G451" s="12" t="s">
        <v>26</v>
      </c>
      <c r="H451" s="9"/>
      <c r="I451" s="12"/>
      <c r="J451" s="12">
        <v>150</v>
      </c>
      <c r="K451" s="12">
        <v>1400</v>
      </c>
      <c r="L451" s="12">
        <v>11517</v>
      </c>
      <c r="M451" s="11">
        <f>L451*4+AI451-AJ451</f>
        <v>46068</v>
      </c>
      <c r="N451" s="13"/>
      <c r="O451" s="12"/>
      <c r="P451" s="12"/>
      <c r="Q451" s="12"/>
      <c r="R451" s="12"/>
      <c r="S451" s="12"/>
      <c r="T451" s="12"/>
      <c r="U451" s="12"/>
      <c r="V451" s="12">
        <v>12017</v>
      </c>
      <c r="W451" s="12"/>
      <c r="X451" s="12"/>
      <c r="Y451" s="12"/>
      <c r="Z451" s="12"/>
      <c r="AA451" s="12"/>
      <c r="AB451" s="12"/>
      <c r="AC451" s="12"/>
      <c r="AD451" s="12"/>
      <c r="AE451" s="12"/>
      <c r="AF451" s="13">
        <f>H451+I451+J451+K451+M451-N451</f>
        <v>47618</v>
      </c>
      <c r="AG451" s="13">
        <f>SUM(O451:AE451)</f>
        <v>12017</v>
      </c>
      <c r="AH451" s="13">
        <f>AF451-AG451</f>
        <v>35601</v>
      </c>
      <c r="AI451" s="12"/>
      <c r="AJ451" s="12"/>
      <c r="AK451" s="12"/>
    </row>
    <row r="452" spans="1:37">
      <c r="A452" s="16">
        <v>16</v>
      </c>
      <c r="B452" s="20">
        <v>2266</v>
      </c>
      <c r="C452" s="19" t="s">
        <v>481</v>
      </c>
      <c r="D452" s="20" t="s">
        <v>28</v>
      </c>
      <c r="E452" s="20" t="s">
        <v>24</v>
      </c>
      <c r="F452" s="19" t="s">
        <v>466</v>
      </c>
      <c r="G452" s="20" t="s">
        <v>26</v>
      </c>
      <c r="H452" s="9">
        <v>5000</v>
      </c>
      <c r="I452" s="12">
        <v>1200</v>
      </c>
      <c r="J452" s="12">
        <v>150</v>
      </c>
      <c r="K452" s="12">
        <v>1400</v>
      </c>
      <c r="L452" s="12">
        <v>11517</v>
      </c>
      <c r="M452" s="11">
        <f>L452*4+AI452-AJ452</f>
        <v>46068</v>
      </c>
      <c r="N452" s="13"/>
      <c r="O452" s="12">
        <v>5000</v>
      </c>
      <c r="P452" s="12">
        <v>1200</v>
      </c>
      <c r="Q452" s="12"/>
      <c r="R452" s="12"/>
      <c r="S452" s="12"/>
      <c r="T452" s="12">
        <v>12017</v>
      </c>
      <c r="U452" s="12"/>
      <c r="V452" s="12"/>
      <c r="W452" s="12"/>
      <c r="X452" s="12"/>
      <c r="Y452" s="12"/>
      <c r="Z452" s="12"/>
      <c r="AA452" s="12"/>
      <c r="AB452" s="12"/>
      <c r="AC452" s="12"/>
      <c r="AD452" s="12"/>
      <c r="AE452" s="12"/>
      <c r="AF452" s="13">
        <f>H452+I452+J452+K452+M452-N452</f>
        <v>53818</v>
      </c>
      <c r="AG452" s="13">
        <f>SUM(O452:AE452)</f>
        <v>18217</v>
      </c>
      <c r="AH452" s="13">
        <f>AF452-AG452</f>
        <v>35601</v>
      </c>
      <c r="AI452" s="12"/>
      <c r="AJ452" s="12"/>
      <c r="AK452" s="12"/>
    </row>
    <row r="453" spans="1:37">
      <c r="A453" s="16">
        <v>17</v>
      </c>
      <c r="B453" s="12">
        <v>1606</v>
      </c>
      <c r="C453" s="12" t="s">
        <v>482</v>
      </c>
      <c r="D453" s="12" t="s">
        <v>28</v>
      </c>
      <c r="E453" s="12"/>
      <c r="F453" s="16" t="s">
        <v>466</v>
      </c>
      <c r="G453" s="12" t="s">
        <v>26</v>
      </c>
      <c r="H453" s="9"/>
      <c r="I453" s="12"/>
      <c r="J453" s="12">
        <v>150</v>
      </c>
      <c r="K453" s="12">
        <v>1400</v>
      </c>
      <c r="L453" s="12">
        <v>11517</v>
      </c>
      <c r="M453" s="11">
        <f>L453*4+AI453-AJ453</f>
        <v>46068</v>
      </c>
      <c r="N453" s="13"/>
      <c r="O453" s="12"/>
      <c r="P453" s="12"/>
      <c r="Q453" s="12"/>
      <c r="R453" s="12"/>
      <c r="S453" s="12"/>
      <c r="T453" s="12"/>
      <c r="U453" s="12">
        <v>12017</v>
      </c>
      <c r="V453" s="12"/>
      <c r="W453" s="12"/>
      <c r="X453" s="12"/>
      <c r="Y453" s="12"/>
      <c r="Z453" s="12"/>
      <c r="AA453" s="12"/>
      <c r="AB453" s="12"/>
      <c r="AC453" s="12"/>
      <c r="AD453" s="12"/>
      <c r="AE453" s="12"/>
      <c r="AF453" s="13">
        <f>H453+I453+J453+K453+M453-N453</f>
        <v>47618</v>
      </c>
      <c r="AG453" s="13">
        <f>SUM(O453:AE453)</f>
        <v>12017</v>
      </c>
      <c r="AH453" s="13">
        <f>AF453-AG453</f>
        <v>35601</v>
      </c>
      <c r="AI453" s="12"/>
      <c r="AJ453" s="12"/>
      <c r="AK453" s="12"/>
    </row>
    <row r="454" spans="1:37">
      <c r="A454" s="16">
        <v>18</v>
      </c>
      <c r="B454" s="12">
        <v>1590</v>
      </c>
      <c r="C454" s="16" t="s">
        <v>483</v>
      </c>
      <c r="D454" s="12" t="s">
        <v>28</v>
      </c>
      <c r="E454" s="12"/>
      <c r="F454" s="16" t="s">
        <v>466</v>
      </c>
      <c r="G454" s="12" t="s">
        <v>26</v>
      </c>
      <c r="H454" s="9"/>
      <c r="I454" s="12"/>
      <c r="J454" s="12">
        <v>150</v>
      </c>
      <c r="K454" s="12">
        <v>1400</v>
      </c>
      <c r="L454" s="12">
        <v>11517</v>
      </c>
      <c r="M454" s="11">
        <f>L454*4+AI454-AJ454</f>
        <v>46068</v>
      </c>
      <c r="N454" s="13"/>
      <c r="O454" s="12"/>
      <c r="P454" s="12"/>
      <c r="Q454" s="12"/>
      <c r="R454" s="12"/>
      <c r="S454" s="12">
        <v>12017</v>
      </c>
      <c r="T454" s="12"/>
      <c r="U454" s="12"/>
      <c r="V454" s="12"/>
      <c r="W454" s="12"/>
      <c r="X454" s="12"/>
      <c r="Y454" s="12"/>
      <c r="Z454" s="12"/>
      <c r="AA454" s="12"/>
      <c r="AB454" s="12"/>
      <c r="AC454" s="12"/>
      <c r="AD454" s="12"/>
      <c r="AE454" s="12"/>
      <c r="AF454" s="13">
        <f>H454+I454+J454+K454+M454-N454</f>
        <v>47618</v>
      </c>
      <c r="AG454" s="13">
        <f>SUM(O454:AE454)</f>
        <v>12017</v>
      </c>
      <c r="AH454" s="13">
        <f>AF454-AG454</f>
        <v>35601</v>
      </c>
      <c r="AI454" s="12"/>
      <c r="AJ454" s="12"/>
      <c r="AK454" s="12"/>
    </row>
    <row r="455" spans="1:37">
      <c r="A455" s="16">
        <v>19</v>
      </c>
      <c r="B455" s="12">
        <v>1513</v>
      </c>
      <c r="C455" s="16" t="s">
        <v>484</v>
      </c>
      <c r="D455" s="12" t="s">
        <v>23</v>
      </c>
      <c r="E455" s="12"/>
      <c r="F455" s="16" t="s">
        <v>466</v>
      </c>
      <c r="G455" s="12" t="s">
        <v>26</v>
      </c>
      <c r="H455" s="9"/>
      <c r="I455" s="12"/>
      <c r="J455" s="12">
        <v>150</v>
      </c>
      <c r="K455" s="12">
        <v>1400</v>
      </c>
      <c r="L455" s="12">
        <v>11517</v>
      </c>
      <c r="M455" s="11">
        <f>L455*4+AI455-AJ455</f>
        <v>46068</v>
      </c>
      <c r="N455" s="13"/>
      <c r="O455" s="12"/>
      <c r="P455" s="12"/>
      <c r="Q455" s="12"/>
      <c r="R455" s="12"/>
      <c r="S455" s="12"/>
      <c r="T455" s="12">
        <v>12017</v>
      </c>
      <c r="U455" s="12"/>
      <c r="V455" s="12"/>
      <c r="W455" s="12"/>
      <c r="X455" s="12"/>
      <c r="Y455" s="12"/>
      <c r="Z455" s="12"/>
      <c r="AA455" s="12"/>
      <c r="AB455" s="12"/>
      <c r="AC455" s="12"/>
      <c r="AD455" s="12"/>
      <c r="AE455" s="12"/>
      <c r="AF455" s="13">
        <f>H455+I455+J455+K455+M455-N455</f>
        <v>47618</v>
      </c>
      <c r="AG455" s="13">
        <f>SUM(O455:AE455)</f>
        <v>12017</v>
      </c>
      <c r="AH455" s="13">
        <f>AF455-AG455</f>
        <v>35601</v>
      </c>
      <c r="AI455" s="12"/>
      <c r="AJ455" s="12"/>
      <c r="AK455" s="12"/>
    </row>
    <row r="456" spans="1:37">
      <c r="A456" s="16">
        <v>20</v>
      </c>
      <c r="B456" s="12">
        <v>1318</v>
      </c>
      <c r="C456" s="16" t="s">
        <v>485</v>
      </c>
      <c r="D456" s="12" t="s">
        <v>23</v>
      </c>
      <c r="E456" s="12"/>
      <c r="F456" s="16" t="s">
        <v>466</v>
      </c>
      <c r="G456" s="12" t="s">
        <v>26</v>
      </c>
      <c r="H456" s="9"/>
      <c r="I456" s="12"/>
      <c r="J456" s="12">
        <v>150</v>
      </c>
      <c r="K456" s="12">
        <v>1400</v>
      </c>
      <c r="L456" s="12">
        <v>11517</v>
      </c>
      <c r="M456" s="11">
        <f>L456*4+AI456-AJ456</f>
        <v>46068</v>
      </c>
      <c r="N456" s="13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  <c r="AA456" s="12"/>
      <c r="AB456" s="12"/>
      <c r="AC456" s="12"/>
      <c r="AD456" s="12"/>
      <c r="AE456" s="12"/>
      <c r="AF456" s="13">
        <f>H456+I456+J456+K456+M456-N456</f>
        <v>47618</v>
      </c>
      <c r="AG456" s="13">
        <f>SUM(O456:AE456)</f>
        <v>0</v>
      </c>
      <c r="AH456" s="13">
        <f>AF456-AG456</f>
        <v>47618</v>
      </c>
      <c r="AI456" s="12"/>
      <c r="AJ456" s="12"/>
      <c r="AK456" s="12"/>
    </row>
    <row r="457" spans="1:37">
      <c r="A457" s="16">
        <v>21</v>
      </c>
      <c r="B457" s="12">
        <v>1277</v>
      </c>
      <c r="C457" s="16" t="s">
        <v>486</v>
      </c>
      <c r="D457" s="12" t="s">
        <v>28</v>
      </c>
      <c r="E457" s="12"/>
      <c r="F457" s="16" t="s">
        <v>466</v>
      </c>
      <c r="G457" s="12" t="s">
        <v>26</v>
      </c>
      <c r="H457" s="9"/>
      <c r="I457" s="12"/>
      <c r="J457" s="12">
        <v>150</v>
      </c>
      <c r="K457" s="12">
        <v>1400</v>
      </c>
      <c r="L457" s="12">
        <v>11517</v>
      </c>
      <c r="M457" s="11">
        <f>L457*4+AI457-AJ457</f>
        <v>46068</v>
      </c>
      <c r="N457" s="13"/>
      <c r="O457" s="12"/>
      <c r="P457" s="12"/>
      <c r="Q457" s="12"/>
      <c r="R457" s="12"/>
      <c r="S457" s="12"/>
      <c r="T457" s="12">
        <v>12017</v>
      </c>
      <c r="U457" s="12"/>
      <c r="V457" s="12"/>
      <c r="W457" s="12"/>
      <c r="X457" s="12"/>
      <c r="Y457" s="12"/>
      <c r="Z457" s="12"/>
      <c r="AA457" s="12"/>
      <c r="AB457" s="12"/>
      <c r="AC457" s="12"/>
      <c r="AD457" s="12"/>
      <c r="AE457" s="12"/>
      <c r="AF457" s="13">
        <f>H457+I457+J457+K457+M457-N457</f>
        <v>47618</v>
      </c>
      <c r="AG457" s="13">
        <f>SUM(O457:AE457)</f>
        <v>12017</v>
      </c>
      <c r="AH457" s="13">
        <f>AF457-AG457</f>
        <v>35601</v>
      </c>
      <c r="AI457" s="12"/>
      <c r="AJ457" s="12"/>
      <c r="AK457" s="12"/>
    </row>
    <row r="458" spans="1:37">
      <c r="A458" s="16">
        <v>22</v>
      </c>
      <c r="B458" s="12">
        <v>1313</v>
      </c>
      <c r="C458" s="16" t="s">
        <v>487</v>
      </c>
      <c r="D458" s="12" t="s">
        <v>28</v>
      </c>
      <c r="E458" s="12"/>
      <c r="F458" s="16" t="s">
        <v>466</v>
      </c>
      <c r="G458" s="12" t="s">
        <v>26</v>
      </c>
      <c r="H458" s="9"/>
      <c r="I458" s="12"/>
      <c r="J458" s="12">
        <v>150</v>
      </c>
      <c r="K458" s="12">
        <v>1400</v>
      </c>
      <c r="L458" s="12">
        <v>11517</v>
      </c>
      <c r="M458" s="11">
        <f>L458*4+AI458-AJ458</f>
        <v>46068</v>
      </c>
      <c r="N458" s="13"/>
      <c r="O458" s="12"/>
      <c r="P458" s="12"/>
      <c r="Q458" s="12"/>
      <c r="R458" s="12"/>
      <c r="S458" s="12"/>
      <c r="T458" s="12">
        <v>12017</v>
      </c>
      <c r="U458" s="12"/>
      <c r="V458" s="12"/>
      <c r="W458" s="12"/>
      <c r="X458" s="12"/>
      <c r="Y458" s="12"/>
      <c r="Z458" s="12"/>
      <c r="AA458" s="12"/>
      <c r="AB458" s="12"/>
      <c r="AC458" s="12"/>
      <c r="AD458" s="12"/>
      <c r="AE458" s="12"/>
      <c r="AF458" s="13">
        <f>H458+I458+J458+K458+M458-N458</f>
        <v>47618</v>
      </c>
      <c r="AG458" s="13">
        <f>SUM(O458:AE458)</f>
        <v>12017</v>
      </c>
      <c r="AH458" s="13">
        <f>AF458-AG458</f>
        <v>35601</v>
      </c>
      <c r="AI458" s="12"/>
      <c r="AJ458" s="12"/>
      <c r="AK458" s="12"/>
    </row>
    <row r="459" spans="1:37">
      <c r="A459" s="16">
        <v>23</v>
      </c>
      <c r="B459" s="12">
        <v>1312</v>
      </c>
      <c r="C459" s="16" t="s">
        <v>488</v>
      </c>
      <c r="D459" s="12" t="s">
        <v>28</v>
      </c>
      <c r="E459" s="12"/>
      <c r="F459" s="16" t="s">
        <v>466</v>
      </c>
      <c r="G459" s="12" t="s">
        <v>26</v>
      </c>
      <c r="H459" s="9"/>
      <c r="I459" s="12"/>
      <c r="J459" s="12">
        <v>150</v>
      </c>
      <c r="K459" s="12">
        <v>1400</v>
      </c>
      <c r="L459" s="12">
        <v>11517</v>
      </c>
      <c r="M459" s="11">
        <f>L459*4+AI459-AJ459</f>
        <v>46068</v>
      </c>
      <c r="N459" s="13"/>
      <c r="O459" s="12"/>
      <c r="P459" s="12"/>
      <c r="Q459" s="12"/>
      <c r="R459" s="12"/>
      <c r="S459" s="12"/>
      <c r="T459" s="12">
        <v>12017</v>
      </c>
      <c r="U459" s="12"/>
      <c r="V459" s="12"/>
      <c r="W459" s="12"/>
      <c r="X459" s="12"/>
      <c r="Y459" s="12"/>
      <c r="Z459" s="12"/>
      <c r="AA459" s="12"/>
      <c r="AB459" s="12"/>
      <c r="AC459" s="12"/>
      <c r="AD459" s="12"/>
      <c r="AE459" s="12"/>
      <c r="AF459" s="13">
        <f>H459+I459+J459+K459+M459-N459</f>
        <v>47618</v>
      </c>
      <c r="AG459" s="13">
        <f>SUM(O459:AE459)</f>
        <v>12017</v>
      </c>
      <c r="AH459" s="13">
        <f>AF459-AG459</f>
        <v>35601</v>
      </c>
      <c r="AI459" s="12"/>
      <c r="AJ459" s="12"/>
      <c r="AK459" s="12"/>
    </row>
    <row r="460" spans="1:37">
      <c r="A460" s="16">
        <v>24</v>
      </c>
      <c r="B460" s="12">
        <v>1306</v>
      </c>
      <c r="C460" s="16" t="s">
        <v>489</v>
      </c>
      <c r="D460" s="12" t="s">
        <v>28</v>
      </c>
      <c r="E460" s="12"/>
      <c r="F460" s="16" t="s">
        <v>466</v>
      </c>
      <c r="G460" s="12" t="s">
        <v>26</v>
      </c>
      <c r="H460" s="9"/>
      <c r="I460" s="12"/>
      <c r="J460" s="12">
        <v>150</v>
      </c>
      <c r="K460" s="12">
        <v>1400</v>
      </c>
      <c r="L460" s="12">
        <v>11517</v>
      </c>
      <c r="M460" s="11">
        <f>L460*4+AI460-AJ460</f>
        <v>46068</v>
      </c>
      <c r="N460" s="13"/>
      <c r="O460" s="12"/>
      <c r="P460" s="12"/>
      <c r="Q460" s="12"/>
      <c r="R460" s="12"/>
      <c r="S460" s="12"/>
      <c r="T460" s="12">
        <v>12017</v>
      </c>
      <c r="U460" s="12"/>
      <c r="V460" s="12"/>
      <c r="W460" s="12"/>
      <c r="X460" s="12"/>
      <c r="Y460" s="12"/>
      <c r="Z460" s="12"/>
      <c r="AA460" s="12"/>
      <c r="AB460" s="12"/>
      <c r="AC460" s="12"/>
      <c r="AD460" s="12"/>
      <c r="AE460" s="12"/>
      <c r="AF460" s="13">
        <f>H460+I460+J460+K460+M460-N460</f>
        <v>47618</v>
      </c>
      <c r="AG460" s="13">
        <f>SUM(O460:AE460)</f>
        <v>12017</v>
      </c>
      <c r="AH460" s="13">
        <f>AF460-AG460</f>
        <v>35601</v>
      </c>
      <c r="AI460" s="12"/>
      <c r="AJ460" s="12"/>
      <c r="AK460" s="12"/>
    </row>
    <row r="461" spans="1:37">
      <c r="A461" s="16">
        <v>25</v>
      </c>
      <c r="B461" s="18">
        <v>1785</v>
      </c>
      <c r="C461" s="17" t="s">
        <v>490</v>
      </c>
      <c r="D461" s="18" t="s">
        <v>28</v>
      </c>
      <c r="E461" s="18"/>
      <c r="F461" s="17" t="s">
        <v>466</v>
      </c>
      <c r="G461" s="18" t="s">
        <v>26</v>
      </c>
      <c r="H461" s="9"/>
      <c r="I461" s="12"/>
      <c r="J461" s="12">
        <v>150</v>
      </c>
      <c r="K461" s="12">
        <v>0</v>
      </c>
      <c r="L461" s="12">
        <v>0</v>
      </c>
      <c r="M461" s="11">
        <f>L461*4+AI461-AJ461</f>
        <v>0</v>
      </c>
      <c r="N461" s="13"/>
      <c r="O461" s="12"/>
      <c r="P461" s="12"/>
      <c r="Q461" s="12"/>
      <c r="R461" s="12"/>
      <c r="S461" s="12"/>
      <c r="T461" s="12">
        <v>150</v>
      </c>
      <c r="U461" s="12"/>
      <c r="V461" s="12"/>
      <c r="W461" s="12"/>
      <c r="X461" s="12"/>
      <c r="Y461" s="12"/>
      <c r="Z461" s="12"/>
      <c r="AA461" s="12"/>
      <c r="AB461" s="12"/>
      <c r="AC461" s="12"/>
      <c r="AD461" s="12"/>
      <c r="AE461" s="12"/>
      <c r="AF461" s="13">
        <f>H461+I461+J461+K461+M461-N461</f>
        <v>150</v>
      </c>
      <c r="AG461" s="13">
        <f>SUM(O461:AE461)</f>
        <v>150</v>
      </c>
      <c r="AH461" s="13">
        <f>AF461-AG461</f>
        <v>0</v>
      </c>
      <c r="AI461" s="12"/>
      <c r="AJ461" s="12"/>
      <c r="AK461" s="12"/>
    </row>
    <row r="462" spans="1:37">
      <c r="A462" s="16">
        <v>26</v>
      </c>
      <c r="B462" s="12">
        <v>1455</v>
      </c>
      <c r="C462" s="16" t="s">
        <v>491</v>
      </c>
      <c r="D462" s="12" t="s">
        <v>28</v>
      </c>
      <c r="E462" s="12"/>
      <c r="F462" s="16" t="s">
        <v>466</v>
      </c>
      <c r="G462" s="12" t="s">
        <v>26</v>
      </c>
      <c r="H462" s="9"/>
      <c r="I462" s="12"/>
      <c r="J462" s="12">
        <v>150</v>
      </c>
      <c r="K462" s="12">
        <v>1400</v>
      </c>
      <c r="L462" s="12">
        <v>11517</v>
      </c>
      <c r="M462" s="11">
        <f>L462*4+AI462-AJ462</f>
        <v>46068</v>
      </c>
      <c r="N462" s="13"/>
      <c r="O462" s="12"/>
      <c r="P462" s="12"/>
      <c r="Q462" s="12"/>
      <c r="R462" s="12"/>
      <c r="S462" s="12">
        <v>12017</v>
      </c>
      <c r="T462" s="12"/>
      <c r="U462" s="12"/>
      <c r="V462" s="12">
        <v>11867</v>
      </c>
      <c r="W462" s="12"/>
      <c r="X462" s="12"/>
      <c r="Y462" s="12"/>
      <c r="Z462" s="12"/>
      <c r="AA462" s="12"/>
      <c r="AB462" s="12"/>
      <c r="AC462" s="12"/>
      <c r="AD462" s="12"/>
      <c r="AE462" s="12"/>
      <c r="AF462" s="13">
        <f>H462+I462+J462+K462+M462-N462</f>
        <v>47618</v>
      </c>
      <c r="AG462" s="13">
        <f>SUM(O462:AE462)</f>
        <v>23884</v>
      </c>
      <c r="AH462" s="13">
        <f>AF462-AG462</f>
        <v>23734</v>
      </c>
      <c r="AI462" s="12"/>
      <c r="AJ462" s="12"/>
      <c r="AK462" s="12"/>
    </row>
    <row r="463" spans="1:37">
      <c r="A463" s="16">
        <v>27</v>
      </c>
      <c r="B463" s="12">
        <v>1232</v>
      </c>
      <c r="C463" s="16" t="s">
        <v>492</v>
      </c>
      <c r="D463" s="12" t="s">
        <v>23</v>
      </c>
      <c r="E463" s="12"/>
      <c r="F463" s="16" t="s">
        <v>466</v>
      </c>
      <c r="G463" s="12" t="s">
        <v>26</v>
      </c>
      <c r="H463" s="9"/>
      <c r="I463" s="12"/>
      <c r="J463" s="12">
        <v>150</v>
      </c>
      <c r="K463" s="12">
        <v>1400</v>
      </c>
      <c r="L463" s="12">
        <v>11517</v>
      </c>
      <c r="M463" s="11">
        <f>L463*4+AI463-AJ463</f>
        <v>46068</v>
      </c>
      <c r="N463" s="13"/>
      <c r="O463" s="12"/>
      <c r="P463" s="12"/>
      <c r="Q463" s="12"/>
      <c r="R463" s="12"/>
      <c r="S463" s="12">
        <v>12017</v>
      </c>
      <c r="T463" s="12"/>
      <c r="U463" s="12"/>
      <c r="V463" s="12"/>
      <c r="W463" s="12"/>
      <c r="X463" s="12"/>
      <c r="Y463" s="12"/>
      <c r="Z463" s="12"/>
      <c r="AA463" s="12"/>
      <c r="AB463" s="12"/>
      <c r="AC463" s="12"/>
      <c r="AD463" s="12"/>
      <c r="AE463" s="12"/>
      <c r="AF463" s="13">
        <f>H463+I463+J463+K463+M463-N463</f>
        <v>47618</v>
      </c>
      <c r="AG463" s="13">
        <f>SUM(O463:AE463)</f>
        <v>12017</v>
      </c>
      <c r="AH463" s="13">
        <f>AF463-AG463</f>
        <v>35601</v>
      </c>
      <c r="AI463" s="12"/>
      <c r="AJ463" s="12"/>
      <c r="AK463" s="12"/>
    </row>
    <row r="464" spans="1:37">
      <c r="A464" s="16">
        <v>28</v>
      </c>
      <c r="B464" s="12">
        <v>1243</v>
      </c>
      <c r="C464" s="16" t="s">
        <v>493</v>
      </c>
      <c r="D464" s="12" t="s">
        <v>28</v>
      </c>
      <c r="E464" s="12"/>
      <c r="F464" s="16" t="s">
        <v>466</v>
      </c>
      <c r="G464" s="12" t="s">
        <v>26</v>
      </c>
      <c r="H464" s="9"/>
      <c r="I464" s="12"/>
      <c r="J464" s="12">
        <v>150</v>
      </c>
      <c r="K464" s="12">
        <v>1400</v>
      </c>
      <c r="L464" s="12">
        <v>11517</v>
      </c>
      <c r="M464" s="11">
        <f>L464*4+AI464-AJ464</f>
        <v>46068</v>
      </c>
      <c r="N464" s="13"/>
      <c r="O464" s="12"/>
      <c r="P464" s="12"/>
      <c r="Q464" s="12"/>
      <c r="R464" s="12"/>
      <c r="S464" s="12">
        <v>12017</v>
      </c>
      <c r="T464" s="12"/>
      <c r="U464" s="12"/>
      <c r="V464" s="12">
        <v>11867</v>
      </c>
      <c r="W464" s="12"/>
      <c r="X464" s="12"/>
      <c r="Y464" s="12"/>
      <c r="Z464" s="12"/>
      <c r="AA464" s="12"/>
      <c r="AB464" s="12"/>
      <c r="AC464" s="12"/>
      <c r="AD464" s="12"/>
      <c r="AE464" s="12"/>
      <c r="AF464" s="13">
        <f>H464+I464+J464+K464+M464-N464</f>
        <v>47618</v>
      </c>
      <c r="AG464" s="13">
        <f>SUM(O464:AE464)</f>
        <v>23884</v>
      </c>
      <c r="AH464" s="13">
        <f>AF464-AG464</f>
        <v>23734</v>
      </c>
      <c r="AI464" s="12"/>
      <c r="AJ464" s="12"/>
      <c r="AK464" s="12"/>
    </row>
    <row r="465" spans="1:37">
      <c r="A465" s="16">
        <v>29</v>
      </c>
      <c r="B465" s="12">
        <v>1278</v>
      </c>
      <c r="C465" s="16" t="s">
        <v>494</v>
      </c>
      <c r="D465" s="12" t="s">
        <v>28</v>
      </c>
      <c r="E465" s="12"/>
      <c r="F465" s="16" t="s">
        <v>466</v>
      </c>
      <c r="G465" s="12" t="s">
        <v>26</v>
      </c>
      <c r="H465" s="9"/>
      <c r="I465" s="12"/>
      <c r="J465" s="12">
        <v>150</v>
      </c>
      <c r="K465" s="12">
        <v>1400</v>
      </c>
      <c r="L465" s="12">
        <v>11517</v>
      </c>
      <c r="M465" s="11">
        <f>L465*4+AI465-AJ465</f>
        <v>46068</v>
      </c>
      <c r="N465" s="13"/>
      <c r="O465" s="12"/>
      <c r="P465" s="12"/>
      <c r="Q465" s="12"/>
      <c r="R465" s="12"/>
      <c r="S465" s="12">
        <v>12017</v>
      </c>
      <c r="T465" s="12"/>
      <c r="U465" s="12"/>
      <c r="V465" s="12"/>
      <c r="W465" s="12"/>
      <c r="X465" s="12"/>
      <c r="Y465" s="12"/>
      <c r="Z465" s="12"/>
      <c r="AA465" s="12"/>
      <c r="AB465" s="12"/>
      <c r="AC465" s="12"/>
      <c r="AD465" s="12"/>
      <c r="AE465" s="12"/>
      <c r="AF465" s="13">
        <f>H465+I465+J465+K465+M465-N465</f>
        <v>47618</v>
      </c>
      <c r="AG465" s="13">
        <f>SUM(O465:AE465)</f>
        <v>12017</v>
      </c>
      <c r="AH465" s="13">
        <f>AF465-AG465</f>
        <v>35601</v>
      </c>
      <c r="AI465" s="12"/>
      <c r="AJ465" s="12"/>
      <c r="AK465" s="12"/>
    </row>
    <row r="466" spans="1:37">
      <c r="A466" s="16">
        <v>30</v>
      </c>
      <c r="B466" s="12">
        <v>1357</v>
      </c>
      <c r="C466" s="16" t="s">
        <v>495</v>
      </c>
      <c r="D466" s="12" t="s">
        <v>28</v>
      </c>
      <c r="E466" s="12"/>
      <c r="F466" s="16" t="s">
        <v>466</v>
      </c>
      <c r="G466" s="12" t="s">
        <v>26</v>
      </c>
      <c r="H466" s="9"/>
      <c r="I466" s="12"/>
      <c r="J466" s="12">
        <v>150</v>
      </c>
      <c r="K466" s="12">
        <v>1400</v>
      </c>
      <c r="L466" s="12">
        <v>11517</v>
      </c>
      <c r="M466" s="11">
        <f>L466*4+AI466-AJ466</f>
        <v>46068</v>
      </c>
      <c r="N466" s="13"/>
      <c r="O466" s="12"/>
      <c r="P466" s="12"/>
      <c r="Q466" s="12"/>
      <c r="R466" s="12"/>
      <c r="S466" s="12"/>
      <c r="T466" s="12">
        <v>12017</v>
      </c>
      <c r="U466" s="12"/>
      <c r="V466" s="12"/>
      <c r="W466" s="12"/>
      <c r="X466" s="12"/>
      <c r="Y466" s="12"/>
      <c r="Z466" s="12"/>
      <c r="AA466" s="12"/>
      <c r="AB466" s="12"/>
      <c r="AC466" s="12"/>
      <c r="AD466" s="12"/>
      <c r="AE466" s="12"/>
      <c r="AF466" s="13">
        <f>H466+I466+J466+K466+M466-N466</f>
        <v>47618</v>
      </c>
      <c r="AG466" s="13">
        <f>SUM(O466:AE466)</f>
        <v>12017</v>
      </c>
      <c r="AH466" s="13">
        <f>AF466-AG466</f>
        <v>35601</v>
      </c>
      <c r="AI466" s="12"/>
      <c r="AJ466" s="12"/>
      <c r="AK466" s="12"/>
    </row>
    <row r="467" spans="1:37">
      <c r="A467" s="16">
        <v>31</v>
      </c>
      <c r="B467" s="12">
        <v>1295</v>
      </c>
      <c r="C467" s="16" t="s">
        <v>496</v>
      </c>
      <c r="D467" s="12" t="s">
        <v>23</v>
      </c>
      <c r="E467" s="12"/>
      <c r="F467" s="16" t="s">
        <v>466</v>
      </c>
      <c r="G467" s="12" t="s">
        <v>26</v>
      </c>
      <c r="H467" s="9"/>
      <c r="I467" s="12"/>
      <c r="J467" s="12">
        <v>150</v>
      </c>
      <c r="K467" s="12">
        <v>1400</v>
      </c>
      <c r="L467" s="12">
        <v>11517</v>
      </c>
      <c r="M467" s="11">
        <f>L467*4+AI467-AJ467</f>
        <v>46068</v>
      </c>
      <c r="N467" s="13"/>
      <c r="O467" s="12"/>
      <c r="P467" s="12"/>
      <c r="Q467" s="12"/>
      <c r="R467" s="12"/>
      <c r="S467" s="12"/>
      <c r="T467" s="12">
        <v>12017</v>
      </c>
      <c r="U467" s="12"/>
      <c r="V467" s="12"/>
      <c r="W467" s="12"/>
      <c r="X467" s="12"/>
      <c r="Y467" s="12"/>
      <c r="Z467" s="12"/>
      <c r="AA467" s="12"/>
      <c r="AB467" s="12"/>
      <c r="AC467" s="12"/>
      <c r="AD467" s="12"/>
      <c r="AE467" s="12"/>
      <c r="AF467" s="13">
        <f>H467+I467+J467+K467+M467-N467</f>
        <v>47618</v>
      </c>
      <c r="AG467" s="13">
        <f>SUM(O467:AE467)</f>
        <v>12017</v>
      </c>
      <c r="AH467" s="13">
        <f>AF467-AG467</f>
        <v>35601</v>
      </c>
      <c r="AI467" s="12"/>
      <c r="AJ467" s="12"/>
      <c r="AK467" s="12"/>
    </row>
    <row r="468" spans="1:37">
      <c r="A468" s="16">
        <v>32</v>
      </c>
      <c r="B468" s="12">
        <v>1338</v>
      </c>
      <c r="C468" s="16" t="s">
        <v>497</v>
      </c>
      <c r="D468" s="12" t="s">
        <v>28</v>
      </c>
      <c r="E468" s="12"/>
      <c r="F468" s="16" t="s">
        <v>466</v>
      </c>
      <c r="G468" s="12" t="s">
        <v>26</v>
      </c>
      <c r="H468" s="9"/>
      <c r="I468" s="12"/>
      <c r="J468" s="12">
        <v>150</v>
      </c>
      <c r="K468" s="12">
        <v>1400</v>
      </c>
      <c r="L468" s="12">
        <v>11517</v>
      </c>
      <c r="M468" s="11">
        <f>L468*4+AI468-AJ468</f>
        <v>67608</v>
      </c>
      <c r="N468" s="13"/>
      <c r="O468" s="12"/>
      <c r="P468" s="12"/>
      <c r="Q468" s="12"/>
      <c r="R468" s="12"/>
      <c r="S468" s="12"/>
      <c r="T468" s="12">
        <v>12017</v>
      </c>
      <c r="U468" s="12"/>
      <c r="V468" s="12"/>
      <c r="W468" s="12"/>
      <c r="X468" s="12"/>
      <c r="Y468" s="12"/>
      <c r="Z468" s="12"/>
      <c r="AA468" s="12"/>
      <c r="AB468" s="12"/>
      <c r="AC468" s="12"/>
      <c r="AD468" s="12"/>
      <c r="AE468" s="12"/>
      <c r="AF468" s="13">
        <f>H468+I468+J468+K468+M468-N468</f>
        <v>69158</v>
      </c>
      <c r="AG468" s="13">
        <f>SUM(O468:AE468)</f>
        <v>12017</v>
      </c>
      <c r="AH468" s="13">
        <f>AF468-AG468</f>
        <v>57141</v>
      </c>
      <c r="AI468" s="12">
        <v>21540</v>
      </c>
      <c r="AJ468" s="12"/>
      <c r="AK468" s="12"/>
    </row>
    <row r="469" spans="1:37">
      <c r="A469" s="10">
        <v>1</v>
      </c>
      <c r="B469" s="16">
        <v>2070</v>
      </c>
      <c r="C469" s="16" t="s">
        <v>498</v>
      </c>
      <c r="D469" s="16" t="s">
        <v>23</v>
      </c>
      <c r="E469" s="16"/>
      <c r="F469" s="16" t="s">
        <v>466</v>
      </c>
      <c r="G469" s="12" t="s">
        <v>62</v>
      </c>
      <c r="H469" s="9"/>
      <c r="I469" s="12"/>
      <c r="J469" s="12">
        <v>150</v>
      </c>
      <c r="K469" s="12">
        <v>1400</v>
      </c>
      <c r="L469" s="12">
        <v>11517</v>
      </c>
      <c r="M469" s="11">
        <f>L469*4+AI469-AJ469</f>
        <v>46068</v>
      </c>
      <c r="N469" s="13"/>
      <c r="O469" s="9"/>
      <c r="P469" s="12"/>
      <c r="Q469" s="12"/>
      <c r="R469" s="12"/>
      <c r="S469" s="12"/>
      <c r="T469" s="12">
        <v>12017</v>
      </c>
      <c r="U469" s="12"/>
      <c r="V469" s="12"/>
      <c r="W469" s="12"/>
      <c r="X469" s="12"/>
      <c r="Y469" s="12"/>
      <c r="Z469" s="12"/>
      <c r="AA469" s="12"/>
      <c r="AB469" s="12"/>
      <c r="AC469" s="12"/>
      <c r="AD469" s="12"/>
      <c r="AE469" s="12"/>
      <c r="AF469" s="13">
        <f>H469+I469+J469+K469+M469-N469</f>
        <v>47618</v>
      </c>
      <c r="AG469" s="13">
        <f>SUM(O469:AE469)</f>
        <v>12017</v>
      </c>
      <c r="AH469" s="13">
        <f>AF469-AG469</f>
        <v>35601</v>
      </c>
      <c r="AI469" s="12"/>
      <c r="AJ469" s="12"/>
      <c r="AK469" s="12"/>
    </row>
    <row r="470" spans="1:37">
      <c r="A470" s="10">
        <v>2</v>
      </c>
      <c r="B470" s="19">
        <v>2232</v>
      </c>
      <c r="C470" s="19" t="s">
        <v>499</v>
      </c>
      <c r="D470" s="19" t="s">
        <v>23</v>
      </c>
      <c r="E470" s="19" t="s">
        <v>24</v>
      </c>
      <c r="F470" s="19" t="s">
        <v>466</v>
      </c>
      <c r="G470" s="20" t="s">
        <v>62</v>
      </c>
      <c r="H470" s="9">
        <v>5000</v>
      </c>
      <c r="I470" s="12">
        <v>1200</v>
      </c>
      <c r="J470" s="12">
        <v>150</v>
      </c>
      <c r="K470" s="12">
        <v>1400</v>
      </c>
      <c r="L470" s="12">
        <v>11517</v>
      </c>
      <c r="M470" s="11">
        <f>L470*4+AI470-AJ470</f>
        <v>46068</v>
      </c>
      <c r="N470" s="13"/>
      <c r="O470" s="9">
        <v>5000</v>
      </c>
      <c r="P470" s="12">
        <v>1200</v>
      </c>
      <c r="Q470" s="12"/>
      <c r="R470" s="11">
        <f>11517+150+350</f>
        <v>12017</v>
      </c>
      <c r="S470" s="12"/>
      <c r="T470" s="12"/>
      <c r="U470" s="12"/>
      <c r="V470" s="12"/>
      <c r="W470" s="12"/>
      <c r="X470" s="12"/>
      <c r="Y470" s="12"/>
      <c r="Z470" s="12"/>
      <c r="AA470" s="12"/>
      <c r="AB470" s="12"/>
      <c r="AC470" s="12"/>
      <c r="AD470" s="12"/>
      <c r="AE470" s="12"/>
      <c r="AF470" s="13">
        <f>H470+I470+J470+K470+M470-N470</f>
        <v>53818</v>
      </c>
      <c r="AG470" s="13">
        <f>SUM(O470:AE470)</f>
        <v>18217</v>
      </c>
      <c r="AH470" s="13">
        <f>AF470-AG470</f>
        <v>35601</v>
      </c>
      <c r="AI470" s="12"/>
      <c r="AJ470" s="12"/>
      <c r="AK470" s="12"/>
    </row>
    <row r="471" spans="1:37">
      <c r="A471" s="10">
        <v>3</v>
      </c>
      <c r="B471" s="11">
        <v>1372</v>
      </c>
      <c r="C471" s="10" t="s">
        <v>500</v>
      </c>
      <c r="D471" s="11" t="s">
        <v>23</v>
      </c>
      <c r="E471" s="11"/>
      <c r="F471" s="16" t="s">
        <v>466</v>
      </c>
      <c r="G471" s="11" t="s">
        <v>62</v>
      </c>
      <c r="H471" s="9"/>
      <c r="I471" s="12"/>
      <c r="J471" s="12">
        <v>150</v>
      </c>
      <c r="K471" s="12">
        <v>1400</v>
      </c>
      <c r="L471" s="12">
        <v>11517</v>
      </c>
      <c r="M471" s="11">
        <f>L471*4+AI471-AJ471</f>
        <v>46068</v>
      </c>
      <c r="N471" s="13"/>
      <c r="O471" s="12"/>
      <c r="P471" s="12"/>
      <c r="Q471" s="12"/>
      <c r="R471" s="12"/>
      <c r="S471" s="12"/>
      <c r="T471" s="12">
        <v>12017</v>
      </c>
      <c r="U471" s="12"/>
      <c r="V471" s="12"/>
      <c r="W471" s="12"/>
      <c r="X471" s="12"/>
      <c r="Y471" s="12"/>
      <c r="Z471" s="12"/>
      <c r="AA471" s="12"/>
      <c r="AB471" s="12"/>
      <c r="AC471" s="12"/>
      <c r="AD471" s="12"/>
      <c r="AE471" s="12"/>
      <c r="AF471" s="13">
        <f>H471+I471+J471+K471+M471-N471</f>
        <v>47618</v>
      </c>
      <c r="AG471" s="13">
        <f>SUM(O471:AE471)</f>
        <v>12017</v>
      </c>
      <c r="AH471" s="13">
        <f>AF471-AG471</f>
        <v>35601</v>
      </c>
      <c r="AI471" s="12"/>
      <c r="AJ471" s="12"/>
      <c r="AK471" s="12"/>
    </row>
    <row r="472" spans="1:37">
      <c r="A472" s="10">
        <v>4</v>
      </c>
      <c r="B472" s="11">
        <v>1959</v>
      </c>
      <c r="C472" s="10" t="s">
        <v>501</v>
      </c>
      <c r="D472" s="11" t="s">
        <v>28</v>
      </c>
      <c r="E472" s="11"/>
      <c r="F472" s="16" t="s">
        <v>466</v>
      </c>
      <c r="G472" s="11" t="s">
        <v>62</v>
      </c>
      <c r="H472" s="9"/>
      <c r="I472" s="12"/>
      <c r="J472" s="12">
        <v>150</v>
      </c>
      <c r="K472" s="12">
        <v>1400</v>
      </c>
      <c r="L472" s="12">
        <v>11517</v>
      </c>
      <c r="M472" s="11">
        <f>L472*4+AI472-AJ472</f>
        <v>46068</v>
      </c>
      <c r="N472" s="13"/>
      <c r="O472" s="12"/>
      <c r="P472" s="12"/>
      <c r="Q472" s="12"/>
      <c r="R472" s="12"/>
      <c r="S472" s="12"/>
      <c r="T472" s="12"/>
      <c r="U472" s="12">
        <v>12017</v>
      </c>
      <c r="V472" s="12"/>
      <c r="W472" s="12"/>
      <c r="X472" s="12"/>
      <c r="Y472" s="12"/>
      <c r="Z472" s="12"/>
      <c r="AA472" s="12"/>
      <c r="AB472" s="12"/>
      <c r="AC472" s="12"/>
      <c r="AD472" s="12"/>
      <c r="AE472" s="12"/>
      <c r="AF472" s="13">
        <f>H472+I472+J472+K472+M472-N472</f>
        <v>47618</v>
      </c>
      <c r="AG472" s="13">
        <f>SUM(O472:AE472)</f>
        <v>12017</v>
      </c>
      <c r="AH472" s="13">
        <f>AF472-AG472</f>
        <v>35601</v>
      </c>
      <c r="AI472" s="12"/>
      <c r="AJ472" s="12"/>
      <c r="AK472" s="12"/>
    </row>
    <row r="473" spans="1:37">
      <c r="A473" s="10">
        <v>5</v>
      </c>
      <c r="B473" s="27">
        <v>1611</v>
      </c>
      <c r="C473" s="27" t="s">
        <v>502</v>
      </c>
      <c r="D473" s="27" t="s">
        <v>28</v>
      </c>
      <c r="E473" s="27"/>
      <c r="F473" s="23" t="s">
        <v>466</v>
      </c>
      <c r="G473" s="27" t="s">
        <v>62</v>
      </c>
      <c r="H473" s="9"/>
      <c r="I473" s="12"/>
      <c r="J473" s="12">
        <v>150</v>
      </c>
      <c r="K473" s="12">
        <v>1400</v>
      </c>
      <c r="L473" s="12">
        <v>5759</v>
      </c>
      <c r="M473" s="11">
        <f>L473*4+AI473-AJ473</f>
        <v>23036</v>
      </c>
      <c r="N473" s="13"/>
      <c r="O473" s="12"/>
      <c r="P473" s="12"/>
      <c r="Q473" s="12"/>
      <c r="R473" s="12"/>
      <c r="S473" s="12"/>
      <c r="T473" s="11">
        <f>2000+2000+2000+259</f>
        <v>6259</v>
      </c>
      <c r="U473" s="12"/>
      <c r="V473" s="12"/>
      <c r="W473" s="12"/>
      <c r="X473" s="12"/>
      <c r="Y473" s="12"/>
      <c r="Z473" s="12"/>
      <c r="AA473" s="12"/>
      <c r="AB473" s="12"/>
      <c r="AC473" s="12"/>
      <c r="AD473" s="12"/>
      <c r="AE473" s="12"/>
      <c r="AF473" s="13">
        <f>H473+I473+J473+K473+M473-N473</f>
        <v>24586</v>
      </c>
      <c r="AG473" s="13">
        <f>SUM(O473:AE473)</f>
        <v>6259</v>
      </c>
      <c r="AH473" s="13">
        <f>AF473-AG473</f>
        <v>18327</v>
      </c>
      <c r="AI473" s="12"/>
      <c r="AJ473" s="12"/>
      <c r="AK473" s="12"/>
    </row>
    <row r="474" spans="1:37">
      <c r="A474" s="10">
        <v>6</v>
      </c>
      <c r="B474" s="11">
        <v>1326</v>
      </c>
      <c r="C474" s="10" t="s">
        <v>503</v>
      </c>
      <c r="D474" s="11" t="s">
        <v>23</v>
      </c>
      <c r="E474" s="11"/>
      <c r="F474" s="16" t="s">
        <v>466</v>
      </c>
      <c r="G474" s="11" t="s">
        <v>62</v>
      </c>
      <c r="H474" s="9"/>
      <c r="I474" s="12"/>
      <c r="J474" s="12">
        <v>150</v>
      </c>
      <c r="K474" s="12">
        <v>1400</v>
      </c>
      <c r="L474" s="12">
        <v>11517</v>
      </c>
      <c r="M474" s="11">
        <f>L474*4+AI474-AJ474</f>
        <v>46068</v>
      </c>
      <c r="N474" s="13">
        <v>2303</v>
      </c>
      <c r="O474" s="12"/>
      <c r="P474" s="12"/>
      <c r="Q474" s="12"/>
      <c r="R474" s="12"/>
      <c r="S474" s="12">
        <v>45315</v>
      </c>
      <c r="T474" s="12"/>
      <c r="U474" s="12"/>
      <c r="V474" s="12"/>
      <c r="W474" s="12"/>
      <c r="X474" s="12"/>
      <c r="Y474" s="12"/>
      <c r="Z474" s="12"/>
      <c r="AA474" s="12"/>
      <c r="AB474" s="12"/>
      <c r="AC474" s="12"/>
      <c r="AD474" s="12"/>
      <c r="AE474" s="12"/>
      <c r="AF474" s="13">
        <f>H474+I474+J474+K474+M474-N474</f>
        <v>45315</v>
      </c>
      <c r="AG474" s="13">
        <f>SUM(O474:AE474)</f>
        <v>45315</v>
      </c>
      <c r="AH474" s="13">
        <f>AF474-AG474</f>
        <v>0</v>
      </c>
      <c r="AI474" s="12"/>
      <c r="AJ474" s="12"/>
      <c r="AK474" s="12"/>
    </row>
    <row r="475" spans="1:37">
      <c r="A475" s="10">
        <v>7</v>
      </c>
      <c r="B475" s="11">
        <v>1958</v>
      </c>
      <c r="C475" s="10" t="s">
        <v>504</v>
      </c>
      <c r="D475" s="11" t="s">
        <v>28</v>
      </c>
      <c r="E475" s="11"/>
      <c r="F475" s="16" t="s">
        <v>466</v>
      </c>
      <c r="G475" s="11" t="s">
        <v>62</v>
      </c>
      <c r="H475" s="9"/>
      <c r="I475" s="12"/>
      <c r="J475" s="12">
        <v>150</v>
      </c>
      <c r="K475" s="12">
        <v>1400</v>
      </c>
      <c r="L475" s="12">
        <v>11517</v>
      </c>
      <c r="M475" s="11">
        <f>L475*4+AI475-AJ475</f>
        <v>46068</v>
      </c>
      <c r="N475" s="13"/>
      <c r="O475" s="12"/>
      <c r="P475" s="12"/>
      <c r="Q475" s="12"/>
      <c r="R475" s="12"/>
      <c r="S475" s="12"/>
      <c r="T475" s="12"/>
      <c r="U475" s="11">
        <f>1207+10+10800</f>
        <v>12017</v>
      </c>
      <c r="V475" s="12"/>
      <c r="W475" s="12"/>
      <c r="X475" s="12"/>
      <c r="Y475" s="12"/>
      <c r="Z475" s="12"/>
      <c r="AA475" s="12"/>
      <c r="AB475" s="12"/>
      <c r="AC475" s="12"/>
      <c r="AD475" s="12"/>
      <c r="AE475" s="12"/>
      <c r="AF475" s="13">
        <f>H475+I475+J475+K475+M475-N475</f>
        <v>47618</v>
      </c>
      <c r="AG475" s="13">
        <f>SUM(O475:AE475)</f>
        <v>12017</v>
      </c>
      <c r="AH475" s="13">
        <f>AF475-AG475</f>
        <v>35601</v>
      </c>
      <c r="AI475" s="12"/>
      <c r="AJ475" s="12"/>
      <c r="AK475" s="12"/>
    </row>
    <row r="476" spans="1:37">
      <c r="A476" s="10">
        <v>8</v>
      </c>
      <c r="B476" s="11">
        <v>1356</v>
      </c>
      <c r="C476" s="10" t="s">
        <v>505</v>
      </c>
      <c r="D476" s="11" t="s">
        <v>28</v>
      </c>
      <c r="E476" s="11"/>
      <c r="F476" s="16" t="s">
        <v>466</v>
      </c>
      <c r="G476" s="11" t="s">
        <v>62</v>
      </c>
      <c r="H476" s="9"/>
      <c r="I476" s="12"/>
      <c r="J476" s="12">
        <v>150</v>
      </c>
      <c r="K476" s="12">
        <v>1400</v>
      </c>
      <c r="L476" s="12">
        <v>11517</v>
      </c>
      <c r="M476" s="11">
        <f>L476*4+AI476-AJ476</f>
        <v>46068</v>
      </c>
      <c r="N476" s="13"/>
      <c r="O476" s="12"/>
      <c r="P476" s="12"/>
      <c r="Q476" s="12"/>
      <c r="R476" s="12"/>
      <c r="S476" s="12"/>
      <c r="T476" s="12"/>
      <c r="U476" s="12">
        <v>12017</v>
      </c>
      <c r="V476" s="12"/>
      <c r="W476" s="12"/>
      <c r="X476" s="12"/>
      <c r="Y476" s="12"/>
      <c r="Z476" s="12"/>
      <c r="AA476" s="12"/>
      <c r="AB476" s="12"/>
      <c r="AC476" s="12"/>
      <c r="AD476" s="12"/>
      <c r="AE476" s="12"/>
      <c r="AF476" s="13">
        <f>H476+I476+J476+K476+M476-N476</f>
        <v>47618</v>
      </c>
      <c r="AG476" s="13">
        <f>SUM(O476:AE476)</f>
        <v>12017</v>
      </c>
      <c r="AH476" s="13">
        <f>AF476-AG476</f>
        <v>35601</v>
      </c>
      <c r="AI476" s="12"/>
      <c r="AJ476" s="12"/>
      <c r="AK476" s="12"/>
    </row>
    <row r="477" spans="1:37">
      <c r="A477" s="10">
        <v>9</v>
      </c>
      <c r="B477" s="11">
        <v>1317</v>
      </c>
      <c r="C477" s="10" t="s">
        <v>506</v>
      </c>
      <c r="D477" s="11" t="s">
        <v>28</v>
      </c>
      <c r="E477" s="11"/>
      <c r="F477" s="16" t="s">
        <v>466</v>
      </c>
      <c r="G477" s="11" t="s">
        <v>62</v>
      </c>
      <c r="H477" s="9"/>
      <c r="I477" s="12"/>
      <c r="J477" s="12">
        <v>150</v>
      </c>
      <c r="K477" s="12">
        <v>1400</v>
      </c>
      <c r="L477" s="12">
        <v>11517</v>
      </c>
      <c r="M477" s="11">
        <f>L477*4+AI477-AJ477</f>
        <v>46068</v>
      </c>
      <c r="N477" s="13"/>
      <c r="O477" s="12"/>
      <c r="P477" s="12"/>
      <c r="Q477" s="12"/>
      <c r="R477" s="12"/>
      <c r="S477" s="12"/>
      <c r="T477" s="12"/>
      <c r="U477" s="12">
        <v>12017</v>
      </c>
      <c r="V477" s="12"/>
      <c r="W477" s="12"/>
      <c r="X477" s="12"/>
      <c r="Y477" s="12"/>
      <c r="Z477" s="12"/>
      <c r="AA477" s="12"/>
      <c r="AB477" s="12"/>
      <c r="AC477" s="12"/>
      <c r="AD477" s="12"/>
      <c r="AE477" s="12"/>
      <c r="AF477" s="13">
        <f>H477+I477+J477+K477+M477-N477</f>
        <v>47618</v>
      </c>
      <c r="AG477" s="13">
        <f>SUM(O477:AE477)</f>
        <v>12017</v>
      </c>
      <c r="AH477" s="13">
        <f>AF477-AG477</f>
        <v>35601</v>
      </c>
      <c r="AI477" s="12"/>
      <c r="AJ477" s="12"/>
      <c r="AK477" s="12"/>
    </row>
    <row r="478" spans="1:37">
      <c r="A478" s="10">
        <v>10</v>
      </c>
      <c r="B478" s="16">
        <v>2106</v>
      </c>
      <c r="C478" s="16" t="s">
        <v>507</v>
      </c>
      <c r="D478" s="16" t="s">
        <v>28</v>
      </c>
      <c r="E478" s="16"/>
      <c r="F478" s="16" t="s">
        <v>466</v>
      </c>
      <c r="G478" s="12" t="s">
        <v>62</v>
      </c>
      <c r="H478" s="9"/>
      <c r="I478" s="12"/>
      <c r="J478" s="12">
        <v>150</v>
      </c>
      <c r="K478" s="12">
        <v>1400</v>
      </c>
      <c r="L478" s="12">
        <v>11517</v>
      </c>
      <c r="M478" s="11">
        <f>L478*4+AI478-AJ478</f>
        <v>46068</v>
      </c>
      <c r="N478" s="13"/>
      <c r="O478" s="9"/>
      <c r="P478" s="12"/>
      <c r="Q478" s="12"/>
      <c r="R478" s="12"/>
      <c r="S478" s="12">
        <v>12017</v>
      </c>
      <c r="T478" s="12"/>
      <c r="U478" s="12"/>
      <c r="V478" s="12">
        <v>11867</v>
      </c>
      <c r="W478" s="12"/>
      <c r="X478" s="12"/>
      <c r="Y478" s="12"/>
      <c r="Z478" s="12"/>
      <c r="AA478" s="12"/>
      <c r="AB478" s="12"/>
      <c r="AC478" s="12"/>
      <c r="AD478" s="12"/>
      <c r="AE478" s="12"/>
      <c r="AF478" s="13">
        <f>H478+I478+J478+K478+M478-N478</f>
        <v>47618</v>
      </c>
      <c r="AG478" s="13">
        <f>SUM(O478:AE478)</f>
        <v>23884</v>
      </c>
      <c r="AH478" s="13">
        <f>AF478-AG478</f>
        <v>23734</v>
      </c>
      <c r="AI478" s="12"/>
      <c r="AJ478" s="12"/>
      <c r="AK478" s="12"/>
    </row>
    <row r="479" spans="1:37">
      <c r="A479" s="10">
        <v>11</v>
      </c>
      <c r="B479" s="11">
        <v>1303</v>
      </c>
      <c r="C479" s="10" t="s">
        <v>508</v>
      </c>
      <c r="D479" s="11" t="s">
        <v>28</v>
      </c>
      <c r="E479" s="11"/>
      <c r="F479" s="16" t="s">
        <v>466</v>
      </c>
      <c r="G479" s="11" t="s">
        <v>62</v>
      </c>
      <c r="H479" s="9"/>
      <c r="I479" s="12"/>
      <c r="J479" s="12">
        <v>150</v>
      </c>
      <c r="K479" s="12">
        <v>1400</v>
      </c>
      <c r="L479" s="12">
        <v>11517</v>
      </c>
      <c r="M479" s="11">
        <f>L479*4+AI479-AJ479</f>
        <v>46068</v>
      </c>
      <c r="N479" s="13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  <c r="AA479" s="12"/>
      <c r="AB479" s="12"/>
      <c r="AC479" s="12"/>
      <c r="AD479" s="12"/>
      <c r="AE479" s="12"/>
      <c r="AF479" s="13">
        <f>H479+I479+J479+K479+M479-N479</f>
        <v>47618</v>
      </c>
      <c r="AG479" s="13">
        <f>SUM(O479:AE479)</f>
        <v>0</v>
      </c>
      <c r="AH479" s="13">
        <f>AF479-AG479</f>
        <v>47618</v>
      </c>
      <c r="AI479" s="12"/>
      <c r="AJ479" s="12"/>
      <c r="AK479" s="12"/>
    </row>
    <row r="480" spans="1:37">
      <c r="A480" s="10">
        <v>12</v>
      </c>
      <c r="B480" s="11">
        <v>1247</v>
      </c>
      <c r="C480" s="10" t="s">
        <v>509</v>
      </c>
      <c r="D480" s="11" t="s">
        <v>28</v>
      </c>
      <c r="E480" s="11"/>
      <c r="F480" s="16" t="s">
        <v>466</v>
      </c>
      <c r="G480" s="11" t="s">
        <v>62</v>
      </c>
      <c r="H480" s="9"/>
      <c r="I480" s="12"/>
      <c r="J480" s="12">
        <v>150</v>
      </c>
      <c r="K480" s="12">
        <v>1400</v>
      </c>
      <c r="L480" s="12">
        <v>11517</v>
      </c>
      <c r="M480" s="11">
        <f>L480*4+AI480-AJ480</f>
        <v>46068</v>
      </c>
      <c r="N480" s="13"/>
      <c r="O480" s="12"/>
      <c r="P480" s="12"/>
      <c r="Q480" s="12"/>
      <c r="R480" s="12"/>
      <c r="S480" s="12">
        <v>12017</v>
      </c>
      <c r="T480" s="12"/>
      <c r="U480" s="12">
        <v>14001</v>
      </c>
      <c r="V480" s="12">
        <v>11867</v>
      </c>
      <c r="W480" s="12"/>
      <c r="X480" s="12"/>
      <c r="Y480" s="12"/>
      <c r="Z480" s="12"/>
      <c r="AA480" s="12"/>
      <c r="AB480" s="12"/>
      <c r="AC480" s="12"/>
      <c r="AD480" s="12"/>
      <c r="AE480" s="12"/>
      <c r="AF480" s="13">
        <f>H480+I480+J480+K480+M480-N480</f>
        <v>47618</v>
      </c>
      <c r="AG480" s="13">
        <f>SUM(O480:AE480)</f>
        <v>37885</v>
      </c>
      <c r="AH480" s="13">
        <f>AF480-AG480</f>
        <v>9733</v>
      </c>
      <c r="AI480" s="12"/>
      <c r="AJ480" s="12"/>
      <c r="AK480" s="12"/>
    </row>
    <row r="481" spans="1:37">
      <c r="A481" s="10">
        <v>13</v>
      </c>
      <c r="B481" s="11">
        <v>1293</v>
      </c>
      <c r="C481" s="10" t="s">
        <v>510</v>
      </c>
      <c r="D481" s="11" t="s">
        <v>23</v>
      </c>
      <c r="E481" s="11"/>
      <c r="F481" s="16" t="s">
        <v>466</v>
      </c>
      <c r="G481" s="11" t="s">
        <v>62</v>
      </c>
      <c r="H481" s="9"/>
      <c r="I481" s="12"/>
      <c r="J481" s="12">
        <v>150</v>
      </c>
      <c r="K481" s="12">
        <v>1400</v>
      </c>
      <c r="L481" s="12">
        <v>11517</v>
      </c>
      <c r="M481" s="11">
        <f>L481*4+AI481-AJ481</f>
        <v>46068</v>
      </c>
      <c r="N481" s="13"/>
      <c r="O481" s="12"/>
      <c r="P481" s="12"/>
      <c r="Q481" s="12"/>
      <c r="R481" s="12"/>
      <c r="S481" s="12"/>
      <c r="T481" s="12">
        <v>12017</v>
      </c>
      <c r="U481" s="12"/>
      <c r="V481" s="12"/>
      <c r="W481" s="12"/>
      <c r="X481" s="12"/>
      <c r="Y481" s="12"/>
      <c r="Z481" s="12"/>
      <c r="AA481" s="12"/>
      <c r="AB481" s="12"/>
      <c r="AC481" s="12"/>
      <c r="AD481" s="12"/>
      <c r="AE481" s="12"/>
      <c r="AF481" s="13">
        <f>H481+I481+J481+K481+M481-N481</f>
        <v>47618</v>
      </c>
      <c r="AG481" s="13">
        <f>SUM(O481:AE481)</f>
        <v>12017</v>
      </c>
      <c r="AH481" s="13">
        <f>AF481-AG481</f>
        <v>35601</v>
      </c>
      <c r="AI481" s="12"/>
      <c r="AJ481" s="12"/>
      <c r="AK481" s="12"/>
    </row>
    <row r="482" spans="1:37">
      <c r="A482" s="10">
        <v>14</v>
      </c>
      <c r="B482" s="26">
        <v>1632</v>
      </c>
      <c r="C482" s="26" t="s">
        <v>511</v>
      </c>
      <c r="D482" s="27" t="s">
        <v>28</v>
      </c>
      <c r="E482" s="26"/>
      <c r="F482" s="23" t="s">
        <v>466</v>
      </c>
      <c r="G482" s="35" t="s">
        <v>62</v>
      </c>
      <c r="H482" s="9"/>
      <c r="I482" s="12"/>
      <c r="J482" s="12">
        <v>150</v>
      </c>
      <c r="K482" s="12">
        <v>1400</v>
      </c>
      <c r="L482" s="12">
        <v>5759</v>
      </c>
      <c r="M482" s="11">
        <f>L482*4+AI482-AJ482</f>
        <v>23036</v>
      </c>
      <c r="N482" s="13"/>
      <c r="O482" s="12"/>
      <c r="P482" s="12"/>
      <c r="Q482" s="12"/>
      <c r="R482" s="12"/>
      <c r="S482" s="12">
        <v>6259</v>
      </c>
      <c r="T482" s="12"/>
      <c r="U482" s="12"/>
      <c r="V482" s="12"/>
      <c r="W482" s="12"/>
      <c r="X482" s="12"/>
      <c r="Y482" s="12"/>
      <c r="Z482" s="12"/>
      <c r="AA482" s="12"/>
      <c r="AB482" s="12"/>
      <c r="AC482" s="12"/>
      <c r="AD482" s="12"/>
      <c r="AE482" s="12"/>
      <c r="AF482" s="13">
        <f>H482+I482+J482+K482+M482-N482</f>
        <v>24586</v>
      </c>
      <c r="AG482" s="13">
        <f>SUM(O482:AE482)</f>
        <v>6259</v>
      </c>
      <c r="AH482" s="13">
        <f>AF482-AG482</f>
        <v>18327</v>
      </c>
      <c r="AI482" s="12"/>
      <c r="AJ482" s="12"/>
      <c r="AK482" s="12"/>
    </row>
    <row r="483" spans="1:37">
      <c r="A483" s="10">
        <v>15</v>
      </c>
      <c r="B483" s="11">
        <v>1291</v>
      </c>
      <c r="C483" s="10" t="s">
        <v>512</v>
      </c>
      <c r="D483" s="11" t="s">
        <v>23</v>
      </c>
      <c r="E483" s="11"/>
      <c r="F483" s="16" t="s">
        <v>466</v>
      </c>
      <c r="G483" s="11" t="s">
        <v>62</v>
      </c>
      <c r="H483" s="9"/>
      <c r="I483" s="12"/>
      <c r="J483" s="12">
        <v>150</v>
      </c>
      <c r="K483" s="12">
        <v>1400</v>
      </c>
      <c r="L483" s="12">
        <v>11517</v>
      </c>
      <c r="M483" s="11">
        <f>L483*4+AI483-AJ483</f>
        <v>46068</v>
      </c>
      <c r="N483" s="13">
        <v>2303</v>
      </c>
      <c r="O483" s="12"/>
      <c r="P483" s="12"/>
      <c r="Q483" s="12"/>
      <c r="R483" s="12"/>
      <c r="S483" s="12">
        <v>45315</v>
      </c>
      <c r="T483" s="12"/>
      <c r="U483" s="12"/>
      <c r="V483" s="12"/>
      <c r="W483" s="12"/>
      <c r="X483" s="12"/>
      <c r="Y483" s="12"/>
      <c r="Z483" s="12"/>
      <c r="AA483" s="12"/>
      <c r="AB483" s="12"/>
      <c r="AC483" s="12"/>
      <c r="AD483" s="12"/>
      <c r="AE483" s="12"/>
      <c r="AF483" s="13">
        <f>H483+I483+J483+K483+M483-N483</f>
        <v>45315</v>
      </c>
      <c r="AG483" s="13">
        <f>SUM(O483:AE483)</f>
        <v>45315</v>
      </c>
      <c r="AH483" s="13">
        <f>AF483-AG483</f>
        <v>0</v>
      </c>
      <c r="AI483" s="12"/>
      <c r="AJ483" s="12"/>
      <c r="AK483" s="12"/>
    </row>
    <row r="484" spans="1:37">
      <c r="A484" s="10">
        <v>16</v>
      </c>
      <c r="B484" s="11">
        <v>1481</v>
      </c>
      <c r="C484" s="10" t="s">
        <v>513</v>
      </c>
      <c r="D484" s="11" t="s">
        <v>23</v>
      </c>
      <c r="E484" s="11"/>
      <c r="F484" s="16" t="s">
        <v>466</v>
      </c>
      <c r="G484" s="11" t="s">
        <v>62</v>
      </c>
      <c r="H484" s="9"/>
      <c r="I484" s="12"/>
      <c r="J484" s="12">
        <v>150</v>
      </c>
      <c r="K484" s="12">
        <v>1400</v>
      </c>
      <c r="L484" s="12">
        <v>11517</v>
      </c>
      <c r="M484" s="11">
        <f>L484*4+AI484-AJ484</f>
        <v>46068</v>
      </c>
      <c r="N484" s="13"/>
      <c r="O484" s="12"/>
      <c r="P484" s="12"/>
      <c r="Q484" s="12"/>
      <c r="R484" s="12"/>
      <c r="S484" s="12">
        <v>12017</v>
      </c>
      <c r="T484" s="12"/>
      <c r="U484" s="12"/>
      <c r="V484" s="12"/>
      <c r="W484" s="12"/>
      <c r="X484" s="12"/>
      <c r="Y484" s="12"/>
      <c r="Z484" s="12"/>
      <c r="AA484" s="12"/>
      <c r="AB484" s="12"/>
      <c r="AC484" s="12"/>
      <c r="AD484" s="12"/>
      <c r="AE484" s="12"/>
      <c r="AF484" s="13">
        <f>H484+I484+J484+K484+M484-N484</f>
        <v>47618</v>
      </c>
      <c r="AG484" s="13">
        <f>SUM(O484:AE484)</f>
        <v>12017</v>
      </c>
      <c r="AH484" s="13">
        <f>AF484-AG484</f>
        <v>35601</v>
      </c>
      <c r="AI484" s="12"/>
      <c r="AJ484" s="12"/>
      <c r="AK484" s="12"/>
    </row>
    <row r="485" spans="1:37">
      <c r="A485" s="10">
        <v>17</v>
      </c>
      <c r="B485" s="20">
        <v>2248</v>
      </c>
      <c r="C485" s="19" t="s">
        <v>514</v>
      </c>
      <c r="D485" s="20" t="s">
        <v>23</v>
      </c>
      <c r="E485" s="20" t="s">
        <v>24</v>
      </c>
      <c r="F485" s="19" t="s">
        <v>466</v>
      </c>
      <c r="G485" s="20" t="s">
        <v>26</v>
      </c>
      <c r="H485" s="9">
        <v>5000</v>
      </c>
      <c r="I485" s="12">
        <v>1200</v>
      </c>
      <c r="J485" s="12">
        <v>150</v>
      </c>
      <c r="K485" s="12">
        <v>1400</v>
      </c>
      <c r="L485" s="12">
        <v>11517</v>
      </c>
      <c r="M485" s="11">
        <f>L485*4+AI485-AJ485</f>
        <v>46068</v>
      </c>
      <c r="N485" s="13"/>
      <c r="O485" s="12">
        <v>5000</v>
      </c>
      <c r="P485" s="12">
        <v>1200</v>
      </c>
      <c r="Q485" s="12"/>
      <c r="R485" s="12"/>
      <c r="S485" s="11">
        <f>11517+150+350</f>
        <v>12017</v>
      </c>
      <c r="T485" s="12"/>
      <c r="U485" s="12"/>
      <c r="V485" s="12"/>
      <c r="W485" s="12"/>
      <c r="X485" s="12"/>
      <c r="Y485" s="12"/>
      <c r="Z485" s="12"/>
      <c r="AA485" s="12"/>
      <c r="AB485" s="12"/>
      <c r="AC485" s="12"/>
      <c r="AD485" s="12"/>
      <c r="AE485" s="12"/>
      <c r="AF485" s="13">
        <f>H485+I485+J485+K485+M485-N485</f>
        <v>53818</v>
      </c>
      <c r="AG485" s="13">
        <f>SUM(O485:AE485)</f>
        <v>18217</v>
      </c>
      <c r="AH485" s="13">
        <f>AF485-AG485</f>
        <v>35601</v>
      </c>
      <c r="AI485" s="12"/>
      <c r="AJ485" s="12"/>
      <c r="AK485" s="12"/>
    </row>
    <row r="486" spans="1:37">
      <c r="A486" s="10">
        <v>18</v>
      </c>
      <c r="B486" s="23">
        <v>2078</v>
      </c>
      <c r="C486" s="23" t="s">
        <v>515</v>
      </c>
      <c r="D486" s="23" t="s">
        <v>28</v>
      </c>
      <c r="E486" s="23"/>
      <c r="F486" s="23" t="s">
        <v>466</v>
      </c>
      <c r="G486" s="24" t="s">
        <v>62</v>
      </c>
      <c r="H486" s="9"/>
      <c r="I486" s="12"/>
      <c r="J486" s="12">
        <v>150</v>
      </c>
      <c r="K486" s="12">
        <v>1400</v>
      </c>
      <c r="L486" s="12">
        <v>5759</v>
      </c>
      <c r="M486" s="11">
        <f>L486*4+AI486-AJ486</f>
        <v>23036</v>
      </c>
      <c r="N486" s="13"/>
      <c r="O486" s="9"/>
      <c r="P486" s="12"/>
      <c r="Q486" s="12"/>
      <c r="R486" s="12"/>
      <c r="S486" s="12">
        <v>6259</v>
      </c>
      <c r="T486" s="12"/>
      <c r="U486" s="12"/>
      <c r="V486" s="12"/>
      <c r="W486" s="12"/>
      <c r="X486" s="12"/>
      <c r="Y486" s="12"/>
      <c r="Z486" s="12"/>
      <c r="AA486" s="12"/>
      <c r="AB486" s="12"/>
      <c r="AC486" s="12"/>
      <c r="AD486" s="12"/>
      <c r="AE486" s="12"/>
      <c r="AF486" s="13">
        <f>H486+I486+J486+K486+M486-N486</f>
        <v>24586</v>
      </c>
      <c r="AG486" s="13">
        <f>SUM(O486:AE486)</f>
        <v>6259</v>
      </c>
      <c r="AH486" s="13">
        <f>AF486-AG486</f>
        <v>18327</v>
      </c>
      <c r="AI486" s="12"/>
      <c r="AJ486" s="12"/>
      <c r="AK486" s="12"/>
    </row>
    <row r="487" spans="1:37">
      <c r="A487" s="10">
        <v>19</v>
      </c>
      <c r="B487" s="11">
        <v>1339</v>
      </c>
      <c r="C487" s="10" t="s">
        <v>516</v>
      </c>
      <c r="D487" s="11" t="s">
        <v>23</v>
      </c>
      <c r="E487" s="11"/>
      <c r="F487" s="16" t="s">
        <v>466</v>
      </c>
      <c r="G487" s="11" t="s">
        <v>62</v>
      </c>
      <c r="H487" s="9"/>
      <c r="I487" s="12"/>
      <c r="J487" s="12">
        <v>150</v>
      </c>
      <c r="K487" s="12">
        <v>1400</v>
      </c>
      <c r="L487" s="12">
        <v>11517</v>
      </c>
      <c r="M487" s="11">
        <f>L487*4+AI487-AJ487</f>
        <v>46068</v>
      </c>
      <c r="N487" s="13"/>
      <c r="O487" s="12"/>
      <c r="P487" s="12"/>
      <c r="Q487" s="12"/>
      <c r="R487" s="12"/>
      <c r="S487" s="12"/>
      <c r="T487" s="12">
        <v>12017</v>
      </c>
      <c r="U487" s="12"/>
      <c r="V487" s="12"/>
      <c r="W487" s="12"/>
      <c r="X487" s="12"/>
      <c r="Y487" s="12"/>
      <c r="Z487" s="12"/>
      <c r="AA487" s="12"/>
      <c r="AB487" s="12"/>
      <c r="AC487" s="12"/>
      <c r="AD487" s="12"/>
      <c r="AE487" s="12"/>
      <c r="AF487" s="13">
        <f>H487+I487+J487+K487+M487-N487</f>
        <v>47618</v>
      </c>
      <c r="AG487" s="13">
        <f>SUM(O487:AE487)</f>
        <v>12017</v>
      </c>
      <c r="AH487" s="13">
        <f>AF487-AG487</f>
        <v>35601</v>
      </c>
      <c r="AI487" s="12"/>
      <c r="AJ487" s="12"/>
      <c r="AK487" s="12"/>
    </row>
    <row r="488" spans="1:37">
      <c r="A488" s="10">
        <v>20</v>
      </c>
      <c r="B488" s="11">
        <v>1319</v>
      </c>
      <c r="C488" s="10" t="s">
        <v>517</v>
      </c>
      <c r="D488" s="11" t="s">
        <v>28</v>
      </c>
      <c r="E488" s="11"/>
      <c r="F488" s="16" t="s">
        <v>466</v>
      </c>
      <c r="G488" s="11" t="s">
        <v>62</v>
      </c>
      <c r="H488" s="9"/>
      <c r="I488" s="12"/>
      <c r="J488" s="12">
        <v>150</v>
      </c>
      <c r="K488" s="12">
        <v>1400</v>
      </c>
      <c r="L488" s="12">
        <v>11517</v>
      </c>
      <c r="M488" s="11">
        <f>L488*4+AI488-AJ488</f>
        <v>46068</v>
      </c>
      <c r="N488" s="13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  <c r="AA488" s="12"/>
      <c r="AB488" s="12"/>
      <c r="AC488" s="12"/>
      <c r="AD488" s="12"/>
      <c r="AE488" s="12"/>
      <c r="AF488" s="13">
        <f>H488+I488+J488+K488+M488-N488</f>
        <v>47618</v>
      </c>
      <c r="AG488" s="13">
        <f>SUM(O488:AE488)</f>
        <v>0</v>
      </c>
      <c r="AH488" s="13">
        <f>AF488-AG488</f>
        <v>47618</v>
      </c>
      <c r="AI488" s="12"/>
      <c r="AJ488" s="12"/>
      <c r="AK488" s="12"/>
    </row>
    <row r="489" spans="1:37">
      <c r="A489" s="10">
        <v>21</v>
      </c>
      <c r="B489" s="11">
        <v>1230</v>
      </c>
      <c r="C489" s="10" t="s">
        <v>518</v>
      </c>
      <c r="D489" s="11" t="s">
        <v>28</v>
      </c>
      <c r="E489" s="11"/>
      <c r="F489" s="16" t="s">
        <v>466</v>
      </c>
      <c r="G489" s="11" t="s">
        <v>62</v>
      </c>
      <c r="H489" s="9"/>
      <c r="I489" s="12"/>
      <c r="J489" s="12">
        <v>150</v>
      </c>
      <c r="K489" s="12">
        <v>1400</v>
      </c>
      <c r="L489" s="12">
        <v>11517</v>
      </c>
      <c r="M489" s="11">
        <f>L489*4+AI489-AJ489</f>
        <v>46068</v>
      </c>
      <c r="N489" s="13"/>
      <c r="O489" s="12"/>
      <c r="P489" s="12"/>
      <c r="Q489" s="12"/>
      <c r="R489" s="12"/>
      <c r="S489" s="12"/>
      <c r="T489" s="12">
        <v>12017</v>
      </c>
      <c r="U489" s="12"/>
      <c r="V489" s="12"/>
      <c r="W489" s="12"/>
      <c r="X489" s="12"/>
      <c r="Y489" s="12"/>
      <c r="Z489" s="12"/>
      <c r="AA489" s="12"/>
      <c r="AB489" s="12"/>
      <c r="AC489" s="12"/>
      <c r="AD489" s="12"/>
      <c r="AE489" s="12"/>
      <c r="AF489" s="13">
        <f>H489+I489+J489+K489+M489-N489</f>
        <v>47618</v>
      </c>
      <c r="AG489" s="13">
        <f>SUM(O489:AE489)</f>
        <v>12017</v>
      </c>
      <c r="AH489" s="13">
        <f>AF489-AG489</f>
        <v>35601</v>
      </c>
      <c r="AI489" s="12"/>
      <c r="AJ489" s="12"/>
      <c r="AK489" s="12"/>
    </row>
    <row r="490" spans="1:37">
      <c r="A490" s="10">
        <v>22</v>
      </c>
      <c r="B490" s="11">
        <v>1538</v>
      </c>
      <c r="C490" s="10" t="s">
        <v>519</v>
      </c>
      <c r="D490" s="11" t="s">
        <v>23</v>
      </c>
      <c r="E490" s="11"/>
      <c r="F490" s="16" t="s">
        <v>466</v>
      </c>
      <c r="G490" s="11" t="s">
        <v>62</v>
      </c>
      <c r="H490" s="9"/>
      <c r="I490" s="12"/>
      <c r="J490" s="12">
        <v>150</v>
      </c>
      <c r="K490" s="12">
        <v>1400</v>
      </c>
      <c r="L490" s="12">
        <v>11517</v>
      </c>
      <c r="M490" s="11">
        <f>L490*4+AI490-AJ490</f>
        <v>46068</v>
      </c>
      <c r="N490" s="13"/>
      <c r="O490" s="12"/>
      <c r="P490" s="12"/>
      <c r="Q490" s="12"/>
      <c r="R490" s="12"/>
      <c r="S490" s="12"/>
      <c r="T490" s="12"/>
      <c r="U490" s="12">
        <v>12017</v>
      </c>
      <c r="V490" s="12"/>
      <c r="W490" s="12"/>
      <c r="X490" s="12"/>
      <c r="Y490" s="12"/>
      <c r="Z490" s="12"/>
      <c r="AA490" s="12"/>
      <c r="AB490" s="12"/>
      <c r="AC490" s="12"/>
      <c r="AD490" s="12"/>
      <c r="AE490" s="12"/>
      <c r="AF490" s="13">
        <f>H490+I490+J490+K490+M490-N490</f>
        <v>47618</v>
      </c>
      <c r="AG490" s="13">
        <f>SUM(O490:AE490)</f>
        <v>12017</v>
      </c>
      <c r="AH490" s="13">
        <f>AF490-AG490</f>
        <v>35601</v>
      </c>
      <c r="AI490" s="12"/>
      <c r="AJ490" s="12"/>
      <c r="AK490" s="12"/>
    </row>
    <row r="491" spans="1:37">
      <c r="A491" s="10">
        <v>23</v>
      </c>
      <c r="B491" s="11">
        <v>1216</v>
      </c>
      <c r="C491" s="10" t="s">
        <v>520</v>
      </c>
      <c r="D491" s="11" t="s">
        <v>28</v>
      </c>
      <c r="E491" s="11"/>
      <c r="F491" s="16" t="s">
        <v>466</v>
      </c>
      <c r="G491" s="11" t="s">
        <v>62</v>
      </c>
      <c r="H491" s="9"/>
      <c r="I491" s="12"/>
      <c r="J491" s="12">
        <v>150</v>
      </c>
      <c r="K491" s="12">
        <v>1400</v>
      </c>
      <c r="L491" s="12">
        <v>11517</v>
      </c>
      <c r="M491" s="11">
        <f>L491*4+AI491-AJ491</f>
        <v>46068</v>
      </c>
      <c r="N491" s="13"/>
      <c r="O491" s="12"/>
      <c r="P491" s="12"/>
      <c r="Q491" s="12"/>
      <c r="R491" s="12"/>
      <c r="S491" s="12"/>
      <c r="T491" s="12">
        <v>12017</v>
      </c>
      <c r="U491" s="12"/>
      <c r="V491" s="12"/>
      <c r="W491" s="12"/>
      <c r="X491" s="12"/>
      <c r="Y491" s="12"/>
      <c r="Z491" s="12"/>
      <c r="AA491" s="12"/>
      <c r="AB491" s="12"/>
      <c r="AC491" s="12"/>
      <c r="AD491" s="12"/>
      <c r="AE491" s="12"/>
      <c r="AF491" s="13">
        <f>H491+I491+J491+K491+M491-N491</f>
        <v>47618</v>
      </c>
      <c r="AG491" s="13">
        <f>SUM(O491:AE491)</f>
        <v>12017</v>
      </c>
      <c r="AH491" s="13">
        <f>AF491-AG491</f>
        <v>35601</v>
      </c>
      <c r="AI491" s="12"/>
      <c r="AJ491" s="12"/>
      <c r="AK491" s="12"/>
    </row>
    <row r="492" spans="1:37">
      <c r="A492" s="10">
        <v>24</v>
      </c>
      <c r="B492" s="11">
        <v>1300</v>
      </c>
      <c r="C492" s="10" t="s">
        <v>521</v>
      </c>
      <c r="D492" s="11" t="s">
        <v>23</v>
      </c>
      <c r="E492" s="11"/>
      <c r="F492" s="16" t="s">
        <v>466</v>
      </c>
      <c r="G492" s="11" t="s">
        <v>62</v>
      </c>
      <c r="H492" s="9"/>
      <c r="I492" s="12"/>
      <c r="J492" s="12">
        <v>150</v>
      </c>
      <c r="K492" s="12">
        <v>1400</v>
      </c>
      <c r="L492" s="12">
        <v>11517</v>
      </c>
      <c r="M492" s="11">
        <f>L492*4+AI492-AJ492</f>
        <v>46068</v>
      </c>
      <c r="N492" s="13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  <c r="AA492" s="12"/>
      <c r="AB492" s="12"/>
      <c r="AC492" s="12"/>
      <c r="AD492" s="12"/>
      <c r="AE492" s="12"/>
      <c r="AF492" s="13">
        <f>H492+I492+J492+K492+M492-N492</f>
        <v>47618</v>
      </c>
      <c r="AG492" s="13">
        <f>SUM(O492:AE492)</f>
        <v>0</v>
      </c>
      <c r="AH492" s="13">
        <f>AF492-AG492</f>
        <v>47618</v>
      </c>
      <c r="AI492" s="12"/>
      <c r="AJ492" s="12"/>
      <c r="AK492" s="12"/>
    </row>
    <row r="493" spans="1:37">
      <c r="A493" s="10">
        <v>25</v>
      </c>
      <c r="B493" s="11">
        <v>1382</v>
      </c>
      <c r="C493" s="10" t="s">
        <v>522</v>
      </c>
      <c r="D493" s="11" t="s">
        <v>28</v>
      </c>
      <c r="E493" s="11"/>
      <c r="F493" s="16" t="s">
        <v>466</v>
      </c>
      <c r="G493" s="11" t="s">
        <v>62</v>
      </c>
      <c r="H493" s="9"/>
      <c r="I493" s="12"/>
      <c r="J493" s="12">
        <v>150</v>
      </c>
      <c r="K493" s="12">
        <v>1400</v>
      </c>
      <c r="L493" s="12">
        <v>11517</v>
      </c>
      <c r="M493" s="11">
        <f>L493*4+AI493-AJ493</f>
        <v>46068</v>
      </c>
      <c r="N493" s="13"/>
      <c r="O493" s="12"/>
      <c r="P493" s="12"/>
      <c r="Q493" s="12"/>
      <c r="R493" s="12"/>
      <c r="S493" s="12"/>
      <c r="T493" s="12">
        <v>12017</v>
      </c>
      <c r="U493" s="12"/>
      <c r="V493" s="12"/>
      <c r="W493" s="12"/>
      <c r="X493" s="12"/>
      <c r="Y493" s="12"/>
      <c r="Z493" s="12"/>
      <c r="AA493" s="12"/>
      <c r="AB493" s="12"/>
      <c r="AC493" s="12"/>
      <c r="AD493" s="12"/>
      <c r="AE493" s="12"/>
      <c r="AF493" s="13">
        <f>H493+I493+J493+K493+M493-N493</f>
        <v>47618</v>
      </c>
      <c r="AG493" s="13">
        <f>SUM(O493:AE493)</f>
        <v>12017</v>
      </c>
      <c r="AH493" s="13">
        <f>AF493-AG493</f>
        <v>35601</v>
      </c>
      <c r="AI493" s="12"/>
      <c r="AJ493" s="12"/>
      <c r="AK493" s="12"/>
    </row>
    <row r="494" spans="1:37">
      <c r="A494" s="10">
        <v>26</v>
      </c>
      <c r="B494" s="11">
        <v>1496</v>
      </c>
      <c r="C494" s="10" t="s">
        <v>523</v>
      </c>
      <c r="D494" s="11" t="s">
        <v>28</v>
      </c>
      <c r="E494" s="11"/>
      <c r="F494" s="16" t="s">
        <v>466</v>
      </c>
      <c r="G494" s="11" t="s">
        <v>62</v>
      </c>
      <c r="H494" s="9"/>
      <c r="I494" s="12"/>
      <c r="J494" s="12">
        <v>150</v>
      </c>
      <c r="K494" s="12">
        <v>1400</v>
      </c>
      <c r="L494" s="12">
        <v>11517</v>
      </c>
      <c r="M494" s="11">
        <f>L494*4+AI494-AJ494</f>
        <v>46068</v>
      </c>
      <c r="N494" s="13"/>
      <c r="O494" s="12"/>
      <c r="P494" s="12"/>
      <c r="Q494" s="12"/>
      <c r="R494" s="12"/>
      <c r="S494" s="12"/>
      <c r="T494" s="12"/>
      <c r="U494" s="12"/>
      <c r="V494" s="12">
        <v>12017</v>
      </c>
      <c r="W494" s="12"/>
      <c r="X494" s="12"/>
      <c r="Y494" s="12"/>
      <c r="Z494" s="12"/>
      <c r="AA494" s="12"/>
      <c r="AB494" s="12"/>
      <c r="AC494" s="12"/>
      <c r="AD494" s="12"/>
      <c r="AE494" s="12"/>
      <c r="AF494" s="13">
        <f>H494+I494+J494+K494+M494-N494</f>
        <v>47618</v>
      </c>
      <c r="AG494" s="13">
        <f>SUM(O494:AE494)</f>
        <v>12017</v>
      </c>
      <c r="AH494" s="13">
        <f>AF494-AG494</f>
        <v>35601</v>
      </c>
      <c r="AI494" s="12"/>
      <c r="AJ494" s="12"/>
      <c r="AK494" s="12"/>
    </row>
    <row r="495" spans="1:37">
      <c r="A495" s="10">
        <v>27</v>
      </c>
      <c r="B495" s="11">
        <v>1251</v>
      </c>
      <c r="C495" s="10" t="s">
        <v>524</v>
      </c>
      <c r="D495" s="11" t="s">
        <v>23</v>
      </c>
      <c r="E495" s="11"/>
      <c r="F495" s="16" t="s">
        <v>466</v>
      </c>
      <c r="G495" s="11" t="s">
        <v>62</v>
      </c>
      <c r="H495" s="9"/>
      <c r="I495" s="12"/>
      <c r="J495" s="12">
        <v>150</v>
      </c>
      <c r="K495" s="12">
        <v>1400</v>
      </c>
      <c r="L495" s="12">
        <v>11517</v>
      </c>
      <c r="M495" s="11">
        <f>L495*4+AI495-AJ495</f>
        <v>46068</v>
      </c>
      <c r="N495" s="13"/>
      <c r="O495" s="12"/>
      <c r="P495" s="12"/>
      <c r="Q495" s="12"/>
      <c r="R495" s="12"/>
      <c r="S495" s="12"/>
      <c r="T495" s="12">
        <v>12017</v>
      </c>
      <c r="U495" s="12"/>
      <c r="V495" s="12"/>
      <c r="W495" s="12"/>
      <c r="X495" s="12"/>
      <c r="Y495" s="12"/>
      <c r="Z495" s="12"/>
      <c r="AA495" s="12"/>
      <c r="AB495" s="12"/>
      <c r="AC495" s="12"/>
      <c r="AD495" s="12"/>
      <c r="AE495" s="12"/>
      <c r="AF495" s="13">
        <f>H495+I495+J495+K495+M495-N495</f>
        <v>47618</v>
      </c>
      <c r="AG495" s="13">
        <f>SUM(O495:AE495)</f>
        <v>12017</v>
      </c>
      <c r="AH495" s="13">
        <f>AF495-AG495</f>
        <v>35601</v>
      </c>
      <c r="AI495" s="12"/>
      <c r="AJ495" s="12"/>
      <c r="AK495" s="12"/>
    </row>
    <row r="496" spans="1:37">
      <c r="A496" s="10">
        <v>28</v>
      </c>
      <c r="B496" s="11">
        <v>1215</v>
      </c>
      <c r="C496" s="10" t="s">
        <v>525</v>
      </c>
      <c r="D496" s="11" t="s">
        <v>28</v>
      </c>
      <c r="E496" s="11"/>
      <c r="F496" s="16" t="s">
        <v>466</v>
      </c>
      <c r="G496" s="11" t="s">
        <v>62</v>
      </c>
      <c r="H496" s="9"/>
      <c r="I496" s="12"/>
      <c r="J496" s="12">
        <v>150</v>
      </c>
      <c r="K496" s="12">
        <v>1400</v>
      </c>
      <c r="L496" s="12">
        <v>11517</v>
      </c>
      <c r="M496" s="11">
        <f>L496*4+AI496-AJ496</f>
        <v>46068</v>
      </c>
      <c r="N496" s="13">
        <v>2303</v>
      </c>
      <c r="O496" s="12"/>
      <c r="P496" s="12"/>
      <c r="Q496" s="12"/>
      <c r="R496" s="12"/>
      <c r="S496" s="12">
        <v>45315</v>
      </c>
      <c r="T496" s="12"/>
      <c r="U496" s="12"/>
      <c r="V496" s="12"/>
      <c r="W496" s="12"/>
      <c r="X496" s="12"/>
      <c r="Y496" s="12"/>
      <c r="Z496" s="12"/>
      <c r="AA496" s="12"/>
      <c r="AB496" s="12"/>
      <c r="AC496" s="12"/>
      <c r="AD496" s="12"/>
      <c r="AE496" s="12"/>
      <c r="AF496" s="13">
        <f>H496+I496+J496+K496+M496-N496</f>
        <v>45315</v>
      </c>
      <c r="AG496" s="13">
        <f>SUM(O496:AE496)</f>
        <v>45315</v>
      </c>
      <c r="AH496" s="13">
        <f>AF496-AG496</f>
        <v>0</v>
      </c>
      <c r="AI496" s="12"/>
      <c r="AJ496" s="12"/>
      <c r="AK496" s="12"/>
    </row>
    <row r="497" spans="1:37">
      <c r="A497" s="10">
        <v>29</v>
      </c>
      <c r="B497" s="11">
        <v>1483</v>
      </c>
      <c r="C497" s="10" t="s">
        <v>526</v>
      </c>
      <c r="D497" s="11" t="s">
        <v>23</v>
      </c>
      <c r="E497" s="11"/>
      <c r="F497" s="16" t="s">
        <v>466</v>
      </c>
      <c r="G497" s="11" t="s">
        <v>62</v>
      </c>
      <c r="H497" s="9"/>
      <c r="I497" s="12"/>
      <c r="J497" s="12">
        <v>150</v>
      </c>
      <c r="K497" s="12">
        <v>1400</v>
      </c>
      <c r="L497" s="12">
        <v>11517</v>
      </c>
      <c r="M497" s="11">
        <f>L497*4+AI497-AJ497</f>
        <v>46068</v>
      </c>
      <c r="N497" s="13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  <c r="AA497" s="12"/>
      <c r="AB497" s="12"/>
      <c r="AC497" s="12"/>
      <c r="AD497" s="12"/>
      <c r="AE497" s="12"/>
      <c r="AF497" s="13">
        <f>H497+I497+J497+K497+M497-N497</f>
        <v>47618</v>
      </c>
      <c r="AG497" s="13">
        <f>SUM(O497:AE497)</f>
        <v>0</v>
      </c>
      <c r="AH497" s="13">
        <f>AF497-AG497</f>
        <v>47618</v>
      </c>
      <c r="AI497" s="12"/>
      <c r="AJ497" s="12"/>
      <c r="AK497" s="12"/>
    </row>
    <row r="498" spans="1:37">
      <c r="A498" s="10">
        <v>30</v>
      </c>
      <c r="B498" s="11">
        <v>1236</v>
      </c>
      <c r="C498" s="10" t="s">
        <v>527</v>
      </c>
      <c r="D498" s="11" t="s">
        <v>28</v>
      </c>
      <c r="E498" s="11"/>
      <c r="F498" s="16" t="s">
        <v>466</v>
      </c>
      <c r="G498" s="11" t="s">
        <v>62</v>
      </c>
      <c r="H498" s="9"/>
      <c r="I498" s="12"/>
      <c r="J498" s="12">
        <v>150</v>
      </c>
      <c r="K498" s="12">
        <v>1400</v>
      </c>
      <c r="L498" s="12">
        <v>11517</v>
      </c>
      <c r="M498" s="11">
        <f>L498*4+AI498-AJ498</f>
        <v>46068</v>
      </c>
      <c r="N498" s="13"/>
      <c r="O498" s="12"/>
      <c r="P498" s="12"/>
      <c r="Q498" s="12"/>
      <c r="R498" s="12"/>
      <c r="S498" s="12">
        <v>12017</v>
      </c>
      <c r="T498" s="12"/>
      <c r="U498" s="12"/>
      <c r="V498" s="12"/>
      <c r="W498" s="12"/>
      <c r="X498" s="12"/>
      <c r="Y498" s="12"/>
      <c r="Z498" s="12"/>
      <c r="AA498" s="12"/>
      <c r="AB498" s="12"/>
      <c r="AC498" s="12"/>
      <c r="AD498" s="12"/>
      <c r="AE498" s="12"/>
      <c r="AF498" s="13">
        <f>H498+I498+J498+K498+M498-N498</f>
        <v>47618</v>
      </c>
      <c r="AG498" s="13">
        <f>SUM(O498:AE498)</f>
        <v>12017</v>
      </c>
      <c r="AH498" s="13">
        <f>AF498-AG498</f>
        <v>35601</v>
      </c>
      <c r="AI498" s="12"/>
      <c r="AJ498" s="12"/>
      <c r="AK498" s="12"/>
    </row>
    <row r="499" spans="1:37">
      <c r="A499" s="10">
        <v>31</v>
      </c>
      <c r="B499" s="11">
        <v>1209</v>
      </c>
      <c r="C499" s="10" t="s">
        <v>528</v>
      </c>
      <c r="D499" s="11" t="s">
        <v>23</v>
      </c>
      <c r="E499" s="11"/>
      <c r="F499" s="16" t="s">
        <v>466</v>
      </c>
      <c r="G499" s="11" t="s">
        <v>62</v>
      </c>
      <c r="H499" s="9"/>
      <c r="I499" s="12"/>
      <c r="J499" s="12">
        <v>150</v>
      </c>
      <c r="K499" s="12">
        <v>1400</v>
      </c>
      <c r="L499" s="12">
        <v>11517</v>
      </c>
      <c r="M499" s="11">
        <f>L499*4+AI499-AJ499</f>
        <v>45538</v>
      </c>
      <c r="N499" s="13"/>
      <c r="O499" s="12"/>
      <c r="P499" s="12"/>
      <c r="Q499" s="12"/>
      <c r="R499" s="12"/>
      <c r="S499" s="12"/>
      <c r="T499" s="12"/>
      <c r="U499" s="12">
        <v>12017</v>
      </c>
      <c r="V499" s="12"/>
      <c r="W499" s="12"/>
      <c r="X499" s="12"/>
      <c r="Y499" s="12"/>
      <c r="Z499" s="12"/>
      <c r="AA499" s="12"/>
      <c r="AB499" s="12"/>
      <c r="AC499" s="12"/>
      <c r="AD499" s="12"/>
      <c r="AE499" s="12"/>
      <c r="AF499" s="13">
        <f>H499+I499+J499+K499+M499-N499</f>
        <v>47088</v>
      </c>
      <c r="AG499" s="13">
        <f>SUM(O499:AE499)</f>
        <v>12017</v>
      </c>
      <c r="AH499" s="13">
        <f>AF499-AG499</f>
        <v>35071</v>
      </c>
      <c r="AI499" s="12"/>
      <c r="AJ499" s="12">
        <v>530</v>
      </c>
      <c r="AK499" s="12"/>
    </row>
    <row r="500" spans="1:37">
      <c r="A500" s="10">
        <v>32</v>
      </c>
      <c r="B500" s="11">
        <v>1342</v>
      </c>
      <c r="C500" s="10" t="s">
        <v>529</v>
      </c>
      <c r="D500" s="11" t="s">
        <v>28</v>
      </c>
      <c r="E500" s="11"/>
      <c r="F500" s="16" t="s">
        <v>466</v>
      </c>
      <c r="G500" s="11" t="s">
        <v>62</v>
      </c>
      <c r="H500" s="9"/>
      <c r="I500" s="12"/>
      <c r="J500" s="12">
        <v>150</v>
      </c>
      <c r="K500" s="12">
        <v>1400</v>
      </c>
      <c r="L500" s="12">
        <v>11517</v>
      </c>
      <c r="M500" s="11">
        <f>L500*4+AI500-AJ500</f>
        <v>46068</v>
      </c>
      <c r="N500" s="13"/>
      <c r="O500" s="12"/>
      <c r="P500" s="12"/>
      <c r="Q500" s="12"/>
      <c r="R500" s="12"/>
      <c r="S500" s="12"/>
      <c r="T500" s="12">
        <v>12017</v>
      </c>
      <c r="U500" s="12"/>
      <c r="V500" s="12"/>
      <c r="W500" s="12"/>
      <c r="X500" s="12"/>
      <c r="Y500" s="12"/>
      <c r="Z500" s="12"/>
      <c r="AA500" s="12"/>
      <c r="AB500" s="12"/>
      <c r="AC500" s="12"/>
      <c r="AD500" s="12"/>
      <c r="AE500" s="12"/>
      <c r="AF500" s="13">
        <f>H500+I500+J500+K500+M500-N500</f>
        <v>47618</v>
      </c>
      <c r="AG500" s="13">
        <f>SUM(O500:AE500)</f>
        <v>12017</v>
      </c>
      <c r="AH500" s="13">
        <f>AF500-AG500</f>
        <v>35601</v>
      </c>
      <c r="AI500" s="12"/>
      <c r="AJ500" s="12"/>
      <c r="AK500" s="12"/>
    </row>
    <row r="501" spans="1:37">
      <c r="A501" s="10">
        <v>33</v>
      </c>
      <c r="B501" s="11">
        <v>1341</v>
      </c>
      <c r="C501" s="10" t="s">
        <v>530</v>
      </c>
      <c r="D501" s="11" t="s">
        <v>28</v>
      </c>
      <c r="E501" s="11"/>
      <c r="F501" s="16" t="s">
        <v>466</v>
      </c>
      <c r="G501" s="11" t="s">
        <v>62</v>
      </c>
      <c r="H501" s="9"/>
      <c r="I501" s="12"/>
      <c r="J501" s="12">
        <v>150</v>
      </c>
      <c r="K501" s="12">
        <v>1400</v>
      </c>
      <c r="L501" s="12">
        <v>11517</v>
      </c>
      <c r="M501" s="11">
        <f>L501*4+AI501-AJ501</f>
        <v>46068</v>
      </c>
      <c r="N501" s="13"/>
      <c r="O501" s="12"/>
      <c r="P501" s="12"/>
      <c r="Q501" s="12"/>
      <c r="R501" s="12"/>
      <c r="S501" s="12"/>
      <c r="T501" s="12"/>
      <c r="U501" s="12"/>
      <c r="V501" s="12">
        <v>12017</v>
      </c>
      <c r="W501" s="12"/>
      <c r="X501" s="12"/>
      <c r="Y501" s="12"/>
      <c r="Z501" s="12"/>
      <c r="AA501" s="12"/>
      <c r="AB501" s="12"/>
      <c r="AC501" s="12"/>
      <c r="AD501" s="12"/>
      <c r="AE501" s="12"/>
      <c r="AF501" s="13">
        <f>H501+I501+J501+K501+M501-N501</f>
        <v>47618</v>
      </c>
      <c r="AG501" s="13">
        <f>SUM(O501:AE501)</f>
        <v>12017</v>
      </c>
      <c r="AH501" s="13">
        <f>AF501-AG501</f>
        <v>35601</v>
      </c>
      <c r="AI501" s="12"/>
      <c r="AJ501" s="12"/>
      <c r="AK501" s="12"/>
    </row>
    <row r="502" spans="1:37">
      <c r="A502" s="10">
        <v>34</v>
      </c>
      <c r="B502" s="11">
        <v>1248</v>
      </c>
      <c r="C502" s="10" t="s">
        <v>531</v>
      </c>
      <c r="D502" s="11" t="s">
        <v>28</v>
      </c>
      <c r="E502" s="11"/>
      <c r="F502" s="16" t="s">
        <v>466</v>
      </c>
      <c r="G502" s="11" t="s">
        <v>62</v>
      </c>
      <c r="H502" s="9"/>
      <c r="I502" s="12"/>
      <c r="J502" s="12">
        <v>150</v>
      </c>
      <c r="K502" s="12">
        <v>1400</v>
      </c>
      <c r="L502" s="12">
        <v>11517</v>
      </c>
      <c r="M502" s="11">
        <f>L502*4+AI502-AJ502</f>
        <v>46068</v>
      </c>
      <c r="N502" s="13"/>
      <c r="O502" s="12"/>
      <c r="P502" s="12"/>
      <c r="Q502" s="12"/>
      <c r="R502" s="12"/>
      <c r="S502" s="12"/>
      <c r="T502" s="12">
        <v>12017</v>
      </c>
      <c r="U502" s="12"/>
      <c r="V502" s="12"/>
      <c r="W502" s="12"/>
      <c r="X502" s="12"/>
      <c r="Y502" s="12"/>
      <c r="Z502" s="12"/>
      <c r="AA502" s="12"/>
      <c r="AB502" s="12"/>
      <c r="AC502" s="12"/>
      <c r="AD502" s="12"/>
      <c r="AE502" s="12"/>
      <c r="AF502" s="13">
        <f>H502+I502+J502+K502+M502-N502</f>
        <v>47618</v>
      </c>
      <c r="AG502" s="13">
        <f>SUM(O502:AE502)</f>
        <v>12017</v>
      </c>
      <c r="AH502" s="13">
        <f>AF502-AG502</f>
        <v>35601</v>
      </c>
      <c r="AI502" s="12"/>
      <c r="AJ502" s="12"/>
      <c r="AK502" s="12"/>
    </row>
    <row r="503" spans="1:37">
      <c r="A503" s="10">
        <v>1</v>
      </c>
      <c r="B503" s="11">
        <v>1440</v>
      </c>
      <c r="C503" s="10" t="s">
        <v>532</v>
      </c>
      <c r="D503" s="11" t="s">
        <v>28</v>
      </c>
      <c r="E503" s="11"/>
      <c r="F503" s="10" t="s">
        <v>533</v>
      </c>
      <c r="G503" s="11" t="s">
        <v>26</v>
      </c>
      <c r="H503" s="9"/>
      <c r="I503" s="12"/>
      <c r="J503" s="12">
        <v>150</v>
      </c>
      <c r="K503" s="12">
        <v>2400</v>
      </c>
      <c r="L503" s="12">
        <v>11517</v>
      </c>
      <c r="M503" s="11">
        <f>L503*4+AI503-AJ503</f>
        <v>46068</v>
      </c>
      <c r="N503" s="13"/>
      <c r="O503" s="12"/>
      <c r="P503" s="12"/>
      <c r="Q503" s="12"/>
      <c r="R503" s="12"/>
      <c r="S503" s="12">
        <v>12267</v>
      </c>
      <c r="T503" s="12"/>
      <c r="U503" s="12"/>
      <c r="V503" s="12">
        <v>12117</v>
      </c>
      <c r="W503" s="12"/>
      <c r="X503" s="12"/>
      <c r="Y503" s="12"/>
      <c r="Z503" s="12"/>
      <c r="AA503" s="12"/>
      <c r="AB503" s="12"/>
      <c r="AC503" s="12"/>
      <c r="AD503" s="12"/>
      <c r="AE503" s="12"/>
      <c r="AF503" s="13">
        <f>H503+I503+J503+K503+M503-N503</f>
        <v>48618</v>
      </c>
      <c r="AG503" s="13">
        <f>SUM(O503:AE503)</f>
        <v>24384</v>
      </c>
      <c r="AH503" s="13">
        <f>AF503-AG503</f>
        <v>24234</v>
      </c>
      <c r="AI503" s="12"/>
      <c r="AJ503" s="12"/>
      <c r="AK503" s="12"/>
    </row>
    <row r="504" spans="1:37">
      <c r="A504" s="10">
        <v>2</v>
      </c>
      <c r="B504" s="11">
        <v>2140</v>
      </c>
      <c r="C504" s="10" t="s">
        <v>534</v>
      </c>
      <c r="D504" s="11" t="s">
        <v>28</v>
      </c>
      <c r="E504" s="11"/>
      <c r="F504" s="10" t="s">
        <v>533</v>
      </c>
      <c r="G504" s="11" t="s">
        <v>26</v>
      </c>
      <c r="H504" s="9"/>
      <c r="I504" s="12"/>
      <c r="J504" s="12">
        <v>150</v>
      </c>
      <c r="K504" s="12">
        <v>2400</v>
      </c>
      <c r="L504" s="12">
        <v>11517</v>
      </c>
      <c r="M504" s="11">
        <f>L504*4+AI504-AJ504</f>
        <v>46068</v>
      </c>
      <c r="N504" s="13"/>
      <c r="O504" s="12"/>
      <c r="P504" s="12"/>
      <c r="Q504" s="12"/>
      <c r="R504" s="12"/>
      <c r="S504" s="12">
        <v>12267</v>
      </c>
      <c r="T504" s="12"/>
      <c r="U504" s="12"/>
      <c r="V504" s="12">
        <v>12117</v>
      </c>
      <c r="W504" s="12"/>
      <c r="X504" s="12"/>
      <c r="Y504" s="12"/>
      <c r="Z504" s="12"/>
      <c r="AA504" s="12"/>
      <c r="AB504" s="12"/>
      <c r="AC504" s="12"/>
      <c r="AD504" s="12"/>
      <c r="AE504" s="12"/>
      <c r="AF504" s="13">
        <f>H504+I504+J504+K504+M504-N504</f>
        <v>48618</v>
      </c>
      <c r="AG504" s="13">
        <f>SUM(O504:AE504)</f>
        <v>24384</v>
      </c>
      <c r="AH504" s="13">
        <f>AF504-AG504</f>
        <v>24234</v>
      </c>
      <c r="AI504" s="12"/>
      <c r="AJ504" s="12"/>
      <c r="AK504" s="12"/>
    </row>
    <row r="505" spans="1:37">
      <c r="A505" s="10">
        <v>3</v>
      </c>
      <c r="B505" s="11">
        <v>1335</v>
      </c>
      <c r="C505" s="10" t="s">
        <v>535</v>
      </c>
      <c r="D505" s="11" t="s">
        <v>28</v>
      </c>
      <c r="E505" s="11"/>
      <c r="F505" s="10" t="s">
        <v>533</v>
      </c>
      <c r="G505" s="11" t="s">
        <v>26</v>
      </c>
      <c r="H505" s="9"/>
      <c r="I505" s="12"/>
      <c r="J505" s="12">
        <v>150</v>
      </c>
      <c r="K505" s="12">
        <v>2400</v>
      </c>
      <c r="L505" s="12">
        <v>11517</v>
      </c>
      <c r="M505" s="11">
        <f>L505*4+AI505-AJ505</f>
        <v>44418</v>
      </c>
      <c r="N505" s="13">
        <v>653</v>
      </c>
      <c r="O505" s="12"/>
      <c r="P505" s="12"/>
      <c r="Q505" s="12"/>
      <c r="R505" s="12"/>
      <c r="S505" s="12"/>
      <c r="T505" s="12">
        <v>46315</v>
      </c>
      <c r="U505" s="12"/>
      <c r="V505" s="12"/>
      <c r="W505" s="12"/>
      <c r="X505" s="12"/>
      <c r="Y505" s="12"/>
      <c r="Z505" s="12"/>
      <c r="AA505" s="12"/>
      <c r="AB505" s="12"/>
      <c r="AC505" s="12"/>
      <c r="AD505" s="12"/>
      <c r="AE505" s="12"/>
      <c r="AF505" s="13">
        <f>H505+I505+J505+K505+M505-N505</f>
        <v>46315</v>
      </c>
      <c r="AG505" s="13">
        <f>SUM(O505:AE505)</f>
        <v>46315</v>
      </c>
      <c r="AH505" s="13">
        <f>AF505-AG505</f>
        <v>0</v>
      </c>
      <c r="AI505" s="12"/>
      <c r="AJ505" s="12">
        <v>1650</v>
      </c>
      <c r="AK505" s="12"/>
    </row>
    <row r="506" spans="1:37">
      <c r="A506" s="10">
        <v>4</v>
      </c>
      <c r="B506" s="11">
        <v>1257</v>
      </c>
      <c r="C506" s="10" t="s">
        <v>536</v>
      </c>
      <c r="D506" s="11" t="s">
        <v>28</v>
      </c>
      <c r="E506" s="11"/>
      <c r="F506" s="10" t="s">
        <v>533</v>
      </c>
      <c r="G506" s="11" t="s">
        <v>26</v>
      </c>
      <c r="H506" s="9"/>
      <c r="I506" s="12"/>
      <c r="J506" s="12">
        <v>150</v>
      </c>
      <c r="K506" s="12">
        <v>2400</v>
      </c>
      <c r="L506" s="12">
        <v>11517</v>
      </c>
      <c r="M506" s="11">
        <f>L506*4+AI506-AJ506</f>
        <v>46068</v>
      </c>
      <c r="N506" s="13">
        <v>2303</v>
      </c>
      <c r="O506" s="12"/>
      <c r="P506" s="12"/>
      <c r="Q506" s="12"/>
      <c r="R506" s="12"/>
      <c r="S506" s="12"/>
      <c r="T506" s="12">
        <v>46315</v>
      </c>
      <c r="U506" s="12"/>
      <c r="V506" s="12"/>
      <c r="W506" s="12"/>
      <c r="X506" s="12"/>
      <c r="Y506" s="12"/>
      <c r="Z506" s="12"/>
      <c r="AA506" s="12"/>
      <c r="AB506" s="12"/>
      <c r="AC506" s="12"/>
      <c r="AD506" s="12"/>
      <c r="AE506" s="12"/>
      <c r="AF506" s="13">
        <f>H506+I506+J506+K506+M506-N506</f>
        <v>46315</v>
      </c>
      <c r="AG506" s="13">
        <f>SUM(O506:AE506)</f>
        <v>46315</v>
      </c>
      <c r="AH506" s="13">
        <f>AF506-AG506</f>
        <v>0</v>
      </c>
      <c r="AI506" s="12"/>
      <c r="AJ506" s="12"/>
      <c r="AK506" s="12"/>
    </row>
    <row r="507" spans="1:37">
      <c r="A507" s="10">
        <v>5</v>
      </c>
      <c r="B507" s="11">
        <v>1908</v>
      </c>
      <c r="C507" s="10" t="s">
        <v>537</v>
      </c>
      <c r="D507" s="11" t="s">
        <v>23</v>
      </c>
      <c r="E507" s="11"/>
      <c r="F507" s="10" t="s">
        <v>533</v>
      </c>
      <c r="G507" s="11" t="s">
        <v>26</v>
      </c>
      <c r="H507" s="9"/>
      <c r="I507" s="12"/>
      <c r="J507" s="12">
        <v>150</v>
      </c>
      <c r="K507" s="12">
        <v>2400</v>
      </c>
      <c r="L507" s="12">
        <v>11517</v>
      </c>
      <c r="M507" s="11">
        <f>L507*4+AI507-AJ507</f>
        <v>46068</v>
      </c>
      <c r="N507" s="13"/>
      <c r="O507" s="12"/>
      <c r="P507" s="12"/>
      <c r="Q507" s="12"/>
      <c r="R507" s="12"/>
      <c r="S507" s="12">
        <v>12267</v>
      </c>
      <c r="T507" s="12"/>
      <c r="U507" s="12"/>
      <c r="V507" s="12"/>
      <c r="W507" s="12"/>
      <c r="X507" s="12"/>
      <c r="Y507" s="12"/>
      <c r="Z507" s="12"/>
      <c r="AA507" s="12"/>
      <c r="AB507" s="12"/>
      <c r="AC507" s="12"/>
      <c r="AD507" s="12"/>
      <c r="AE507" s="12"/>
      <c r="AF507" s="13">
        <f>H507+I507+J507+K507+M507-N507</f>
        <v>48618</v>
      </c>
      <c r="AG507" s="13">
        <f>SUM(O507:AE507)</f>
        <v>12267</v>
      </c>
      <c r="AH507" s="13">
        <f>AF507-AG507</f>
        <v>36351</v>
      </c>
      <c r="AI507" s="12"/>
      <c r="AJ507" s="12"/>
      <c r="AK507" s="12"/>
    </row>
    <row r="508" spans="1:37">
      <c r="A508" s="10">
        <v>6</v>
      </c>
      <c r="B508" s="11">
        <v>1108</v>
      </c>
      <c r="C508" s="10" t="s">
        <v>538</v>
      </c>
      <c r="D508" s="11" t="s">
        <v>28</v>
      </c>
      <c r="E508" s="11"/>
      <c r="F508" s="10" t="s">
        <v>533</v>
      </c>
      <c r="G508" s="11" t="s">
        <v>26</v>
      </c>
      <c r="H508" s="9"/>
      <c r="I508" s="12"/>
      <c r="J508" s="12">
        <v>150</v>
      </c>
      <c r="K508" s="12">
        <v>2400</v>
      </c>
      <c r="L508" s="12">
        <v>11517</v>
      </c>
      <c r="M508" s="11">
        <f>L508*4+AI508-AJ508</f>
        <v>46068</v>
      </c>
      <c r="N508" s="13"/>
      <c r="O508" s="12"/>
      <c r="P508" s="12"/>
      <c r="Q508" s="12"/>
      <c r="R508" s="12"/>
      <c r="S508" s="12"/>
      <c r="T508" s="12">
        <v>12267</v>
      </c>
      <c r="U508" s="12"/>
      <c r="V508" s="12"/>
      <c r="W508" s="12"/>
      <c r="X508" s="12"/>
      <c r="Y508" s="12"/>
      <c r="Z508" s="12"/>
      <c r="AA508" s="12"/>
      <c r="AB508" s="12"/>
      <c r="AC508" s="12"/>
      <c r="AD508" s="12"/>
      <c r="AE508" s="12"/>
      <c r="AF508" s="13">
        <f>H508+I508+J508+K508+M508-N508</f>
        <v>48618</v>
      </c>
      <c r="AG508" s="13">
        <f>SUM(O508:AE508)</f>
        <v>12267</v>
      </c>
      <c r="AH508" s="13">
        <f>AF508-AG508</f>
        <v>36351</v>
      </c>
      <c r="AI508" s="12"/>
      <c r="AJ508" s="12"/>
      <c r="AK508" s="12"/>
    </row>
    <row r="509" spans="1:37">
      <c r="A509" s="10">
        <v>7</v>
      </c>
      <c r="B509" s="11">
        <v>1508</v>
      </c>
      <c r="C509" s="10" t="s">
        <v>539</v>
      </c>
      <c r="D509" s="11" t="s">
        <v>28</v>
      </c>
      <c r="E509" s="11"/>
      <c r="F509" s="10" t="s">
        <v>533</v>
      </c>
      <c r="G509" s="11" t="s">
        <v>26</v>
      </c>
      <c r="H509" s="9"/>
      <c r="I509" s="12"/>
      <c r="J509" s="12">
        <v>150</v>
      </c>
      <c r="K509" s="12">
        <v>2400</v>
      </c>
      <c r="L509" s="12">
        <v>11517</v>
      </c>
      <c r="M509" s="11">
        <f>L509*4+AI509-AJ509</f>
        <v>46068</v>
      </c>
      <c r="N509" s="13"/>
      <c r="O509" s="12"/>
      <c r="P509" s="12"/>
      <c r="Q509" s="12"/>
      <c r="R509" s="12"/>
      <c r="S509" s="11">
        <f>5000+5000+2267</f>
        <v>12267</v>
      </c>
      <c r="T509" s="12"/>
      <c r="U509" s="12"/>
      <c r="V509" s="12"/>
      <c r="W509" s="12"/>
      <c r="X509" s="12"/>
      <c r="Y509" s="12"/>
      <c r="Z509" s="12"/>
      <c r="AA509" s="12"/>
      <c r="AB509" s="12"/>
      <c r="AC509" s="12"/>
      <c r="AD509" s="12"/>
      <c r="AE509" s="12"/>
      <c r="AF509" s="13">
        <f>H509+I509+J509+K509+M509-N509</f>
        <v>48618</v>
      </c>
      <c r="AG509" s="13">
        <f>SUM(O509:AE509)</f>
        <v>12267</v>
      </c>
      <c r="AH509" s="13">
        <f>AF509-AG509</f>
        <v>36351</v>
      </c>
      <c r="AI509" s="12"/>
      <c r="AJ509" s="12"/>
      <c r="AK509" s="12"/>
    </row>
    <row r="510" spans="1:37">
      <c r="A510" s="10">
        <v>8</v>
      </c>
      <c r="B510" s="11">
        <v>2138</v>
      </c>
      <c r="C510" s="10" t="s">
        <v>540</v>
      </c>
      <c r="D510" s="11" t="s">
        <v>23</v>
      </c>
      <c r="E510" s="11"/>
      <c r="F510" s="10" t="s">
        <v>533</v>
      </c>
      <c r="G510" s="11" t="s">
        <v>26</v>
      </c>
      <c r="H510" s="9"/>
      <c r="I510" s="12"/>
      <c r="J510" s="12">
        <v>150</v>
      </c>
      <c r="K510" s="12">
        <v>2400</v>
      </c>
      <c r="L510" s="12">
        <v>11517</v>
      </c>
      <c r="M510" s="11">
        <f>L510*4+AI510-AJ510</f>
        <v>46068</v>
      </c>
      <c r="N510" s="13"/>
      <c r="O510" s="12"/>
      <c r="P510" s="12"/>
      <c r="Q510" s="12"/>
      <c r="R510" s="12"/>
      <c r="S510" s="12">
        <v>12267</v>
      </c>
      <c r="T510" s="12"/>
      <c r="U510" s="12"/>
      <c r="V510" s="12">
        <v>12117</v>
      </c>
      <c r="W510" s="12"/>
      <c r="X510" s="12"/>
      <c r="Y510" s="12"/>
      <c r="Z510" s="12"/>
      <c r="AA510" s="12"/>
      <c r="AB510" s="12"/>
      <c r="AC510" s="12"/>
      <c r="AD510" s="12"/>
      <c r="AE510" s="12"/>
      <c r="AF510" s="13">
        <f>H510+I510+J510+K510+M510-N510</f>
        <v>48618</v>
      </c>
      <c r="AG510" s="13">
        <f>SUM(O510:AE510)</f>
        <v>24384</v>
      </c>
      <c r="AH510" s="13">
        <f>AF510-AG510</f>
        <v>24234</v>
      </c>
      <c r="AI510" s="12"/>
      <c r="AJ510" s="12"/>
      <c r="AK510" s="12"/>
    </row>
    <row r="511" spans="1:37">
      <c r="A511" s="10">
        <v>9</v>
      </c>
      <c r="B511" s="11">
        <v>1196</v>
      </c>
      <c r="C511" s="10" t="s">
        <v>541</v>
      </c>
      <c r="D511" s="11" t="s">
        <v>28</v>
      </c>
      <c r="E511" s="11"/>
      <c r="F511" s="10" t="s">
        <v>533</v>
      </c>
      <c r="G511" s="11" t="s">
        <v>26</v>
      </c>
      <c r="H511" s="9"/>
      <c r="I511" s="12"/>
      <c r="J511" s="12">
        <v>150</v>
      </c>
      <c r="K511" s="12">
        <v>2400</v>
      </c>
      <c r="L511" s="12">
        <v>11517</v>
      </c>
      <c r="M511" s="11">
        <f>L511*4+AI511-AJ511</f>
        <v>45618</v>
      </c>
      <c r="N511" s="13"/>
      <c r="O511" s="12"/>
      <c r="P511" s="12"/>
      <c r="Q511" s="12"/>
      <c r="R511" s="12"/>
      <c r="S511" s="12">
        <v>12267</v>
      </c>
      <c r="T511" s="12"/>
      <c r="U511" s="12"/>
      <c r="V511" s="12">
        <v>12117</v>
      </c>
      <c r="W511" s="12"/>
      <c r="X511" s="12"/>
      <c r="Y511" s="12"/>
      <c r="Z511" s="12"/>
      <c r="AA511" s="12"/>
      <c r="AB511" s="12"/>
      <c r="AC511" s="12"/>
      <c r="AD511" s="12"/>
      <c r="AE511" s="12"/>
      <c r="AF511" s="13">
        <f>H511+I511+J511+K511+M511-N511</f>
        <v>48168</v>
      </c>
      <c r="AG511" s="13">
        <f>SUM(O511:AE511)</f>
        <v>24384</v>
      </c>
      <c r="AH511" s="13">
        <f>AF511-AG511</f>
        <v>23784</v>
      </c>
      <c r="AI511" s="12"/>
      <c r="AJ511" s="12">
        <v>450</v>
      </c>
      <c r="AK511" s="12"/>
    </row>
    <row r="512" spans="1:37">
      <c r="A512" s="10">
        <v>10</v>
      </c>
      <c r="B512" s="11">
        <v>1439</v>
      </c>
      <c r="C512" s="10" t="s">
        <v>542</v>
      </c>
      <c r="D512" s="11" t="s">
        <v>28</v>
      </c>
      <c r="E512" s="11"/>
      <c r="F512" s="10" t="s">
        <v>533</v>
      </c>
      <c r="G512" s="11" t="s">
        <v>26</v>
      </c>
      <c r="H512" s="9"/>
      <c r="I512" s="12"/>
      <c r="J512" s="12">
        <v>150</v>
      </c>
      <c r="K512" s="12">
        <v>2400</v>
      </c>
      <c r="L512" s="12">
        <v>11517</v>
      </c>
      <c r="M512" s="11">
        <f>L512*4+AI512-AJ512</f>
        <v>46068</v>
      </c>
      <c r="N512" s="13">
        <v>2303</v>
      </c>
      <c r="O512" s="12"/>
      <c r="P512" s="12"/>
      <c r="Q512" s="12"/>
      <c r="R512" s="12"/>
      <c r="S512" s="12">
        <v>46315</v>
      </c>
      <c r="T512" s="12"/>
      <c r="U512" s="12"/>
      <c r="V512" s="12"/>
      <c r="W512" s="12"/>
      <c r="X512" s="12"/>
      <c r="Y512" s="12"/>
      <c r="Z512" s="12"/>
      <c r="AA512" s="12"/>
      <c r="AB512" s="12"/>
      <c r="AC512" s="12"/>
      <c r="AD512" s="12"/>
      <c r="AE512" s="12"/>
      <c r="AF512" s="13">
        <f>H512+I512+J512+K512+M512-N512</f>
        <v>46315</v>
      </c>
      <c r="AG512" s="13">
        <f>SUM(O512:AE512)</f>
        <v>46315</v>
      </c>
      <c r="AH512" s="13">
        <f>AF512-AG512</f>
        <v>0</v>
      </c>
      <c r="AI512" s="12"/>
      <c r="AJ512" s="12"/>
      <c r="AK512" s="12"/>
    </row>
    <row r="513" spans="1:37">
      <c r="A513" s="10">
        <v>11</v>
      </c>
      <c r="B513" s="10">
        <v>1967</v>
      </c>
      <c r="C513" s="10" t="s">
        <v>543</v>
      </c>
      <c r="D513" s="10" t="s">
        <v>28</v>
      </c>
      <c r="E513" s="10"/>
      <c r="F513" s="10" t="s">
        <v>533</v>
      </c>
      <c r="G513" s="36" t="s">
        <v>26</v>
      </c>
      <c r="H513" s="9"/>
      <c r="I513" s="12"/>
      <c r="J513" s="12">
        <v>150</v>
      </c>
      <c r="K513" s="12">
        <v>2400</v>
      </c>
      <c r="L513" s="12">
        <v>11517</v>
      </c>
      <c r="M513" s="11">
        <f>L513*4+AI513-AJ513</f>
        <v>46068</v>
      </c>
      <c r="N513" s="13"/>
      <c r="O513" s="12"/>
      <c r="P513" s="12"/>
      <c r="Q513" s="12"/>
      <c r="R513" s="12"/>
      <c r="S513" s="12"/>
      <c r="T513" s="12"/>
      <c r="U513" s="12">
        <v>12267</v>
      </c>
      <c r="V513" s="12"/>
      <c r="W513" s="12"/>
      <c r="X513" s="12"/>
      <c r="Y513" s="12"/>
      <c r="Z513" s="12"/>
      <c r="AA513" s="12"/>
      <c r="AB513" s="12"/>
      <c r="AC513" s="12"/>
      <c r="AD513" s="12"/>
      <c r="AE513" s="12"/>
      <c r="AF513" s="13">
        <f>H513+I513+J513+K513+M513-N513</f>
        <v>48618</v>
      </c>
      <c r="AG513" s="13">
        <f>SUM(O513:AE513)</f>
        <v>12267</v>
      </c>
      <c r="AH513" s="13">
        <f>AF513-AG513</f>
        <v>36351</v>
      </c>
      <c r="AI513" s="12"/>
      <c r="AJ513" s="12"/>
      <c r="AK513" s="12"/>
    </row>
    <row r="514" spans="1:37">
      <c r="A514" s="10">
        <v>12</v>
      </c>
      <c r="B514" s="11">
        <v>1100</v>
      </c>
      <c r="C514" s="10" t="s">
        <v>544</v>
      </c>
      <c r="D514" s="11" t="s">
        <v>23</v>
      </c>
      <c r="E514" s="11"/>
      <c r="F514" s="10" t="s">
        <v>533</v>
      </c>
      <c r="G514" s="11" t="s">
        <v>26</v>
      </c>
      <c r="H514" s="9"/>
      <c r="I514" s="12"/>
      <c r="J514" s="12">
        <v>150</v>
      </c>
      <c r="K514" s="12">
        <v>2400</v>
      </c>
      <c r="L514" s="12">
        <v>11517</v>
      </c>
      <c r="M514" s="11">
        <f>L514*4+AI514-AJ514</f>
        <v>46068</v>
      </c>
      <c r="N514" s="13"/>
      <c r="O514" s="12"/>
      <c r="P514" s="12"/>
      <c r="Q514" s="12"/>
      <c r="R514" s="12"/>
      <c r="S514" s="12"/>
      <c r="T514" s="12"/>
      <c r="U514" s="12"/>
      <c r="V514" s="11">
        <f>12267+12117</f>
        <v>24384</v>
      </c>
      <c r="W514" s="12"/>
      <c r="X514" s="12"/>
      <c r="Y514" s="12"/>
      <c r="Z514" s="12"/>
      <c r="AA514" s="12"/>
      <c r="AB514" s="12"/>
      <c r="AC514" s="12"/>
      <c r="AD514" s="12"/>
      <c r="AE514" s="12"/>
      <c r="AF514" s="13">
        <f>H514+I514+J514+K514+M514-N514</f>
        <v>48618</v>
      </c>
      <c r="AG514" s="13">
        <f>SUM(O514:AE514)</f>
        <v>24384</v>
      </c>
      <c r="AH514" s="13">
        <f>AF514-AG514</f>
        <v>24234</v>
      </c>
      <c r="AI514" s="12"/>
      <c r="AJ514" s="12"/>
      <c r="AK514" s="12">
        <v>300</v>
      </c>
    </row>
    <row r="515" spans="1:37">
      <c r="A515" s="10">
        <v>13</v>
      </c>
      <c r="B515" s="11">
        <v>1133</v>
      </c>
      <c r="C515" s="10" t="s">
        <v>545</v>
      </c>
      <c r="D515" s="11" t="s">
        <v>23</v>
      </c>
      <c r="E515" s="11"/>
      <c r="F515" s="10" t="s">
        <v>533</v>
      </c>
      <c r="G515" s="11" t="s">
        <v>26</v>
      </c>
      <c r="H515" s="9"/>
      <c r="I515" s="12"/>
      <c r="J515" s="12">
        <v>150</v>
      </c>
      <c r="K515" s="12">
        <v>2400</v>
      </c>
      <c r="L515" s="12">
        <v>11517</v>
      </c>
      <c r="M515" s="11">
        <f>L515*4+AI515-AJ515</f>
        <v>46068</v>
      </c>
      <c r="N515" s="13"/>
      <c r="O515" s="12"/>
      <c r="P515" s="12"/>
      <c r="Q515" s="12"/>
      <c r="R515" s="12"/>
      <c r="S515" s="12"/>
      <c r="T515" s="12">
        <v>12267</v>
      </c>
      <c r="U515" s="12"/>
      <c r="V515" s="12"/>
      <c r="W515" s="12"/>
      <c r="X515" s="12"/>
      <c r="Y515" s="12"/>
      <c r="Z515" s="12"/>
      <c r="AA515" s="12"/>
      <c r="AB515" s="12"/>
      <c r="AC515" s="12"/>
      <c r="AD515" s="12"/>
      <c r="AE515" s="12"/>
      <c r="AF515" s="13">
        <f>H515+I515+J515+K515+M515-N515</f>
        <v>48618</v>
      </c>
      <c r="AG515" s="13">
        <f>SUM(O515:AE515)</f>
        <v>12267</v>
      </c>
      <c r="AH515" s="13">
        <f>AF515-AG515</f>
        <v>36351</v>
      </c>
      <c r="AI515" s="12"/>
      <c r="AJ515" s="12"/>
      <c r="AK515" s="12"/>
    </row>
    <row r="516" spans="1:37">
      <c r="A516" s="10">
        <v>14</v>
      </c>
      <c r="B516" s="22">
        <v>2225</v>
      </c>
      <c r="C516" s="21" t="s">
        <v>546</v>
      </c>
      <c r="D516" s="22" t="s">
        <v>28</v>
      </c>
      <c r="E516" s="22" t="s">
        <v>24</v>
      </c>
      <c r="F516" s="21" t="s">
        <v>533</v>
      </c>
      <c r="G516" s="22" t="s">
        <v>26</v>
      </c>
      <c r="H516" s="9">
        <v>5000</v>
      </c>
      <c r="I516" s="12">
        <v>1200</v>
      </c>
      <c r="J516" s="12">
        <v>150</v>
      </c>
      <c r="K516" s="12">
        <v>2400</v>
      </c>
      <c r="L516" s="12">
        <v>11517</v>
      </c>
      <c r="M516" s="11">
        <f>L516*4+AI516-AJ516</f>
        <v>46068</v>
      </c>
      <c r="N516" s="13"/>
      <c r="O516" s="12">
        <v>5000</v>
      </c>
      <c r="P516" s="12">
        <v>1200</v>
      </c>
      <c r="Q516" s="12"/>
      <c r="R516" s="11">
        <f>11517+150+600</f>
        <v>12267</v>
      </c>
      <c r="S516" s="12"/>
      <c r="T516" s="12"/>
      <c r="U516" s="12"/>
      <c r="V516" s="12">
        <v>12117</v>
      </c>
      <c r="W516" s="12"/>
      <c r="X516" s="12"/>
      <c r="Y516" s="12"/>
      <c r="Z516" s="12"/>
      <c r="AA516" s="12"/>
      <c r="AB516" s="12"/>
      <c r="AC516" s="12"/>
      <c r="AD516" s="12"/>
      <c r="AE516" s="12"/>
      <c r="AF516" s="13">
        <f>H516+I516+J516+K516+M516-N516</f>
        <v>54818</v>
      </c>
      <c r="AG516" s="13">
        <f>SUM(O516:AE516)</f>
        <v>30584</v>
      </c>
      <c r="AH516" s="13">
        <f>AF516-AG516</f>
        <v>24234</v>
      </c>
      <c r="AI516" s="12"/>
      <c r="AJ516" s="12"/>
      <c r="AK516" s="12"/>
    </row>
    <row r="517" spans="1:37">
      <c r="A517" s="10">
        <v>15</v>
      </c>
      <c r="B517" s="11">
        <v>1222</v>
      </c>
      <c r="C517" s="10" t="s">
        <v>193</v>
      </c>
      <c r="D517" s="11" t="s">
        <v>28</v>
      </c>
      <c r="E517" s="11"/>
      <c r="F517" s="10" t="s">
        <v>533</v>
      </c>
      <c r="G517" s="11" t="s">
        <v>26</v>
      </c>
      <c r="H517" s="9"/>
      <c r="I517" s="12"/>
      <c r="J517" s="12">
        <v>150</v>
      </c>
      <c r="K517" s="12">
        <v>2400</v>
      </c>
      <c r="L517" s="12">
        <v>11517</v>
      </c>
      <c r="M517" s="11">
        <f>L517*4+AI517-AJ517</f>
        <v>46068</v>
      </c>
      <c r="N517" s="13"/>
      <c r="O517" s="12"/>
      <c r="P517" s="12"/>
      <c r="Q517" s="12"/>
      <c r="R517" s="12"/>
      <c r="S517" s="12">
        <v>12267</v>
      </c>
      <c r="T517" s="12"/>
      <c r="U517" s="12"/>
      <c r="V517" s="12">
        <v>12117</v>
      </c>
      <c r="W517" s="12"/>
      <c r="X517" s="12"/>
      <c r="Y517" s="12"/>
      <c r="Z517" s="12"/>
      <c r="AA517" s="12"/>
      <c r="AB517" s="12"/>
      <c r="AC517" s="12"/>
      <c r="AD517" s="12"/>
      <c r="AE517" s="12"/>
      <c r="AF517" s="13">
        <f>H517+I517+J517+K517+M517-N517</f>
        <v>48618</v>
      </c>
      <c r="AG517" s="13">
        <f>SUM(O517:AE517)</f>
        <v>24384</v>
      </c>
      <c r="AH517" s="13">
        <f>AF517-AG517</f>
        <v>24234</v>
      </c>
      <c r="AI517" s="12"/>
      <c r="AJ517" s="12"/>
      <c r="AK517" s="12"/>
    </row>
    <row r="518" spans="1:37">
      <c r="A518" s="10">
        <v>16</v>
      </c>
      <c r="B518" s="11">
        <v>1103</v>
      </c>
      <c r="C518" s="10" t="s">
        <v>547</v>
      </c>
      <c r="D518" s="11" t="s">
        <v>28</v>
      </c>
      <c r="E518" s="11"/>
      <c r="F518" s="10" t="s">
        <v>533</v>
      </c>
      <c r="G518" s="11" t="s">
        <v>26</v>
      </c>
      <c r="H518" s="9"/>
      <c r="I518" s="12"/>
      <c r="J518" s="12">
        <v>150</v>
      </c>
      <c r="K518" s="12">
        <v>2400</v>
      </c>
      <c r="L518" s="12">
        <v>11517</v>
      </c>
      <c r="M518" s="11">
        <f>L518*4+AI518-AJ518</f>
        <v>46068</v>
      </c>
      <c r="N518" s="13">
        <v>2303</v>
      </c>
      <c r="O518" s="12"/>
      <c r="P518" s="12"/>
      <c r="Q518" s="12"/>
      <c r="R518" s="12"/>
      <c r="S518" s="12"/>
      <c r="T518" s="12">
        <v>46315</v>
      </c>
      <c r="U518" s="12"/>
      <c r="V518" s="12"/>
      <c r="W518" s="12"/>
      <c r="X518" s="12"/>
      <c r="Y518" s="12"/>
      <c r="Z518" s="12"/>
      <c r="AA518" s="12"/>
      <c r="AB518" s="12"/>
      <c r="AC518" s="12"/>
      <c r="AD518" s="12"/>
      <c r="AE518" s="12"/>
      <c r="AF518" s="13">
        <f>H518+I518+J518+K518+M518-N518</f>
        <v>46315</v>
      </c>
      <c r="AG518" s="13">
        <f>SUM(O518:AE518)</f>
        <v>46315</v>
      </c>
      <c r="AH518" s="13">
        <f>AF518-AG518</f>
        <v>0</v>
      </c>
      <c r="AI518" s="12"/>
      <c r="AJ518" s="12"/>
      <c r="AK518" s="12"/>
    </row>
    <row r="519" spans="1:37">
      <c r="A519" s="10">
        <v>17</v>
      </c>
      <c r="B519" s="15">
        <v>1662</v>
      </c>
      <c r="C519" s="14" t="s">
        <v>548</v>
      </c>
      <c r="D519" s="15" t="s">
        <v>28</v>
      </c>
      <c r="E519" s="15"/>
      <c r="F519" s="14" t="s">
        <v>533</v>
      </c>
      <c r="G519" s="15" t="s">
        <v>26</v>
      </c>
      <c r="H519" s="9"/>
      <c r="I519" s="12"/>
      <c r="J519" s="12">
        <v>150</v>
      </c>
      <c r="K519" s="12">
        <v>0</v>
      </c>
      <c r="L519" s="12">
        <v>0</v>
      </c>
      <c r="M519" s="11">
        <f>L519*4+AI519-AJ519</f>
        <v>0</v>
      </c>
      <c r="N519" s="13"/>
      <c r="O519" s="12"/>
      <c r="P519" s="12"/>
      <c r="Q519" s="12"/>
      <c r="R519" s="12"/>
      <c r="S519" s="12"/>
      <c r="T519" s="12">
        <v>150</v>
      </c>
      <c r="U519" s="12"/>
      <c r="V519" s="12"/>
      <c r="W519" s="12"/>
      <c r="X519" s="12"/>
      <c r="Y519" s="12"/>
      <c r="Z519" s="12"/>
      <c r="AA519" s="12"/>
      <c r="AB519" s="12"/>
      <c r="AC519" s="12"/>
      <c r="AD519" s="12"/>
      <c r="AE519" s="12"/>
      <c r="AF519" s="13">
        <f>H519+I519+J519+K519+M519-N519</f>
        <v>150</v>
      </c>
      <c r="AG519" s="13">
        <f>SUM(O519:AE519)</f>
        <v>150</v>
      </c>
      <c r="AH519" s="13">
        <f>AF519-AG519</f>
        <v>0</v>
      </c>
      <c r="AI519" s="12"/>
      <c r="AJ519" s="12"/>
      <c r="AK519" s="12"/>
    </row>
    <row r="520" spans="1:37">
      <c r="A520" s="10">
        <v>18</v>
      </c>
      <c r="B520" s="11">
        <v>1118</v>
      </c>
      <c r="C520" s="10" t="s">
        <v>549</v>
      </c>
      <c r="D520" s="11" t="s">
        <v>23</v>
      </c>
      <c r="E520" s="11"/>
      <c r="F520" s="10" t="s">
        <v>533</v>
      </c>
      <c r="G520" s="11" t="s">
        <v>26</v>
      </c>
      <c r="H520" s="9"/>
      <c r="I520" s="12"/>
      <c r="J520" s="12">
        <v>150</v>
      </c>
      <c r="K520" s="12">
        <v>2400</v>
      </c>
      <c r="L520" s="12">
        <v>11517</v>
      </c>
      <c r="M520" s="11">
        <f>L520*4+AI520-AJ520</f>
        <v>46068</v>
      </c>
      <c r="N520" s="13"/>
      <c r="O520" s="12"/>
      <c r="P520" s="12"/>
      <c r="Q520" s="12"/>
      <c r="R520" s="12"/>
      <c r="S520" s="12"/>
      <c r="T520" s="12">
        <v>12267</v>
      </c>
      <c r="U520" s="12"/>
      <c r="V520" s="12"/>
      <c r="W520" s="12"/>
      <c r="X520" s="12"/>
      <c r="Y520" s="12"/>
      <c r="Z520" s="12"/>
      <c r="AA520" s="12"/>
      <c r="AB520" s="12"/>
      <c r="AC520" s="12"/>
      <c r="AD520" s="12"/>
      <c r="AE520" s="12"/>
      <c r="AF520" s="13">
        <f>H520+I520+J520+K520+M520-N520</f>
        <v>48618</v>
      </c>
      <c r="AG520" s="13">
        <f>SUM(O520:AE520)</f>
        <v>12267</v>
      </c>
      <c r="AH520" s="13">
        <f>AF520-AG520</f>
        <v>36351</v>
      </c>
      <c r="AI520" s="12"/>
      <c r="AJ520" s="12"/>
      <c r="AK520" s="12"/>
    </row>
    <row r="521" spans="1:37">
      <c r="A521" s="10">
        <v>19</v>
      </c>
      <c r="B521" s="11">
        <v>1240</v>
      </c>
      <c r="C521" s="10" t="s">
        <v>550</v>
      </c>
      <c r="D521" s="11" t="s">
        <v>28</v>
      </c>
      <c r="E521" s="11"/>
      <c r="F521" s="10" t="s">
        <v>533</v>
      </c>
      <c r="G521" s="11" t="s">
        <v>26</v>
      </c>
      <c r="H521" s="9"/>
      <c r="I521" s="12"/>
      <c r="J521" s="12">
        <v>150</v>
      </c>
      <c r="K521" s="12">
        <v>2400</v>
      </c>
      <c r="L521" s="12">
        <v>11517</v>
      </c>
      <c r="M521" s="11">
        <f>L521*4+AI521-AJ521</f>
        <v>46068</v>
      </c>
      <c r="N521" s="13"/>
      <c r="O521" s="12"/>
      <c r="P521" s="12"/>
      <c r="Q521" s="12"/>
      <c r="R521" s="12"/>
      <c r="S521" s="12"/>
      <c r="T521" s="12">
        <v>12267</v>
      </c>
      <c r="U521" s="12"/>
      <c r="V521" s="12">
        <v>12117</v>
      </c>
      <c r="W521" s="12"/>
      <c r="X521" s="12"/>
      <c r="Y521" s="12"/>
      <c r="Z521" s="12"/>
      <c r="AA521" s="12"/>
      <c r="AB521" s="12"/>
      <c r="AC521" s="12"/>
      <c r="AD521" s="12"/>
      <c r="AE521" s="12"/>
      <c r="AF521" s="13">
        <f>H521+I521+J521+K521+M521-N521</f>
        <v>48618</v>
      </c>
      <c r="AG521" s="13">
        <f>SUM(O521:AE521)</f>
        <v>24384</v>
      </c>
      <c r="AH521" s="13">
        <f>AF521-AG521</f>
        <v>24234</v>
      </c>
      <c r="AI521" s="12"/>
      <c r="AJ521" s="12"/>
      <c r="AK521" s="12"/>
    </row>
    <row r="522" spans="1:37">
      <c r="A522" s="10">
        <v>20</v>
      </c>
      <c r="B522" s="11">
        <v>1099</v>
      </c>
      <c r="C522" s="10" t="s">
        <v>551</v>
      </c>
      <c r="D522" s="11" t="s">
        <v>28</v>
      </c>
      <c r="E522" s="11"/>
      <c r="F522" s="10" t="s">
        <v>533</v>
      </c>
      <c r="G522" s="11" t="s">
        <v>26</v>
      </c>
      <c r="H522" s="9"/>
      <c r="I522" s="12"/>
      <c r="J522" s="12">
        <v>150</v>
      </c>
      <c r="K522" s="12">
        <v>2400</v>
      </c>
      <c r="L522" s="12">
        <v>11517</v>
      </c>
      <c r="M522" s="11">
        <f>L522*4+AI522-AJ522</f>
        <v>46068</v>
      </c>
      <c r="N522" s="13"/>
      <c r="O522" s="12"/>
      <c r="P522" s="12"/>
      <c r="Q522" s="12"/>
      <c r="R522" s="12"/>
      <c r="S522" s="12"/>
      <c r="T522" s="12">
        <v>12267</v>
      </c>
      <c r="U522" s="12"/>
      <c r="V522" s="12"/>
      <c r="W522" s="12"/>
      <c r="X522" s="12"/>
      <c r="Y522" s="12"/>
      <c r="Z522" s="12"/>
      <c r="AA522" s="12"/>
      <c r="AB522" s="12"/>
      <c r="AC522" s="12"/>
      <c r="AD522" s="12"/>
      <c r="AE522" s="12"/>
      <c r="AF522" s="13">
        <f>H522+I522+J522+K522+M522-N522</f>
        <v>48618</v>
      </c>
      <c r="AG522" s="13">
        <f>SUM(O522:AE522)</f>
        <v>12267</v>
      </c>
      <c r="AH522" s="13">
        <f>AF522-AG522</f>
        <v>36351</v>
      </c>
      <c r="AI522" s="12"/>
      <c r="AJ522" s="12"/>
      <c r="AK522" s="12"/>
    </row>
    <row r="523" spans="1:37">
      <c r="A523" s="10">
        <v>21</v>
      </c>
      <c r="B523" s="11">
        <v>1441</v>
      </c>
      <c r="C523" s="10" t="s">
        <v>552</v>
      </c>
      <c r="D523" s="11" t="s">
        <v>28</v>
      </c>
      <c r="E523" s="11"/>
      <c r="F523" s="10" t="s">
        <v>533</v>
      </c>
      <c r="G523" s="11" t="s">
        <v>26</v>
      </c>
      <c r="H523" s="9"/>
      <c r="I523" s="12"/>
      <c r="J523" s="12">
        <v>150</v>
      </c>
      <c r="K523" s="12">
        <v>2400</v>
      </c>
      <c r="L523" s="12">
        <v>11517</v>
      </c>
      <c r="M523" s="11">
        <f>L523*4+AI523-AJ523</f>
        <v>46068</v>
      </c>
      <c r="N523" s="13"/>
      <c r="O523" s="12"/>
      <c r="P523" s="12"/>
      <c r="Q523" s="12"/>
      <c r="R523" s="12"/>
      <c r="S523" s="12">
        <v>12267</v>
      </c>
      <c r="T523" s="12">
        <v>20</v>
      </c>
      <c r="U523" s="12"/>
      <c r="V523" s="12">
        <v>12117</v>
      </c>
      <c r="W523" s="12"/>
      <c r="X523" s="12"/>
      <c r="Y523" s="12"/>
      <c r="Z523" s="12"/>
      <c r="AA523" s="12"/>
      <c r="AB523" s="12"/>
      <c r="AC523" s="12"/>
      <c r="AD523" s="12"/>
      <c r="AE523" s="12"/>
      <c r="AF523" s="13">
        <f>H523+I523+J523+K523+M523-N523</f>
        <v>48618</v>
      </c>
      <c r="AG523" s="13">
        <f>SUM(O523:AE523)</f>
        <v>24404</v>
      </c>
      <c r="AH523" s="13">
        <f>AF523-AG523</f>
        <v>24214</v>
      </c>
      <c r="AI523" s="12"/>
      <c r="AJ523" s="12"/>
      <c r="AK523" s="12"/>
    </row>
    <row r="524" spans="1:37">
      <c r="A524" s="10">
        <v>22</v>
      </c>
      <c r="B524" s="16">
        <v>2098</v>
      </c>
      <c r="C524" s="16" t="s">
        <v>553</v>
      </c>
      <c r="D524" s="16" t="s">
        <v>28</v>
      </c>
      <c r="E524" s="16"/>
      <c r="F524" s="10" t="s">
        <v>533</v>
      </c>
      <c r="G524" s="12" t="s">
        <v>26</v>
      </c>
      <c r="H524" s="9"/>
      <c r="I524" s="12"/>
      <c r="J524" s="12">
        <v>150</v>
      </c>
      <c r="K524" s="12">
        <v>2400</v>
      </c>
      <c r="L524" s="12">
        <v>11517</v>
      </c>
      <c r="M524" s="11">
        <f>L524*4+AI524-AJ524</f>
        <v>46068</v>
      </c>
      <c r="N524" s="13"/>
      <c r="O524" s="9"/>
      <c r="P524" s="12"/>
      <c r="Q524" s="12"/>
      <c r="R524" s="12"/>
      <c r="S524" s="12"/>
      <c r="T524" s="12">
        <v>12267</v>
      </c>
      <c r="U524" s="12"/>
      <c r="V524" s="12"/>
      <c r="W524" s="12"/>
      <c r="X524" s="12"/>
      <c r="Y524" s="12"/>
      <c r="Z524" s="12"/>
      <c r="AA524" s="12"/>
      <c r="AB524" s="12"/>
      <c r="AC524" s="12"/>
      <c r="AD524" s="12"/>
      <c r="AE524" s="12"/>
      <c r="AF524" s="13">
        <f>H524+I524+J524+K524+M524-N524</f>
        <v>48618</v>
      </c>
      <c r="AG524" s="13">
        <f>SUM(O524:AE524)</f>
        <v>12267</v>
      </c>
      <c r="AH524" s="13">
        <f>AF524-AG524</f>
        <v>36351</v>
      </c>
      <c r="AI524" s="12"/>
      <c r="AJ524" s="12"/>
      <c r="AK524" s="12"/>
    </row>
    <row r="525" spans="1:37">
      <c r="A525" s="10">
        <v>23</v>
      </c>
      <c r="B525" s="11">
        <v>1583</v>
      </c>
      <c r="C525" s="10" t="s">
        <v>554</v>
      </c>
      <c r="D525" s="11" t="s">
        <v>23</v>
      </c>
      <c r="E525" s="11"/>
      <c r="F525" s="10" t="s">
        <v>533</v>
      </c>
      <c r="G525" s="11" t="s">
        <v>26</v>
      </c>
      <c r="H525" s="9"/>
      <c r="I525" s="12"/>
      <c r="J525" s="12">
        <v>150</v>
      </c>
      <c r="K525" s="12">
        <v>2400</v>
      </c>
      <c r="L525" s="12">
        <v>11517</v>
      </c>
      <c r="M525" s="11">
        <f>L525*4+AI525-AJ525</f>
        <v>45318</v>
      </c>
      <c r="N525" s="13"/>
      <c r="O525" s="12"/>
      <c r="P525" s="12"/>
      <c r="Q525" s="12"/>
      <c r="R525" s="12"/>
      <c r="S525" s="12"/>
      <c r="T525" s="12">
        <v>12267</v>
      </c>
      <c r="U525" s="12"/>
      <c r="V525" s="12">
        <v>12117</v>
      </c>
      <c r="W525" s="12"/>
      <c r="X525" s="12"/>
      <c r="Y525" s="12"/>
      <c r="Z525" s="12"/>
      <c r="AA525" s="12"/>
      <c r="AB525" s="12"/>
      <c r="AC525" s="12"/>
      <c r="AD525" s="12"/>
      <c r="AE525" s="12"/>
      <c r="AF525" s="13">
        <f>H525+I525+J525+K525+M525-N525</f>
        <v>47868</v>
      </c>
      <c r="AG525" s="13">
        <f>SUM(O525:AE525)</f>
        <v>24384</v>
      </c>
      <c r="AH525" s="13">
        <f>AF525-AG525</f>
        <v>23484</v>
      </c>
      <c r="AI525" s="12"/>
      <c r="AJ525" s="12">
        <v>750</v>
      </c>
      <c r="AK525" s="12"/>
    </row>
    <row r="526" spans="1:37">
      <c r="A526" s="10">
        <v>24</v>
      </c>
      <c r="B526" s="11">
        <v>1444</v>
      </c>
      <c r="C526" s="10" t="s">
        <v>555</v>
      </c>
      <c r="D526" s="11" t="s">
        <v>28</v>
      </c>
      <c r="E526" s="11"/>
      <c r="F526" s="10" t="s">
        <v>533</v>
      </c>
      <c r="G526" s="11" t="s">
        <v>26</v>
      </c>
      <c r="H526" s="9"/>
      <c r="I526" s="12"/>
      <c r="J526" s="12">
        <v>150</v>
      </c>
      <c r="K526" s="12">
        <v>2400</v>
      </c>
      <c r="L526" s="12">
        <v>11517</v>
      </c>
      <c r="M526" s="11">
        <f>L526*4+AI526-AJ526</f>
        <v>46068</v>
      </c>
      <c r="N526" s="13">
        <v>2303</v>
      </c>
      <c r="O526" s="12"/>
      <c r="P526" s="12"/>
      <c r="Q526" s="12"/>
      <c r="R526" s="12"/>
      <c r="S526" s="11">
        <f>12017+34298</f>
        <v>46315</v>
      </c>
      <c r="T526" s="12"/>
      <c r="U526" s="12"/>
      <c r="V526" s="12"/>
      <c r="W526" s="12"/>
      <c r="X526" s="12"/>
      <c r="Y526" s="12"/>
      <c r="Z526" s="12"/>
      <c r="AA526" s="12"/>
      <c r="AB526" s="12"/>
      <c r="AC526" s="12"/>
      <c r="AD526" s="12"/>
      <c r="AE526" s="12"/>
      <c r="AF526" s="13">
        <f>H526+I526+J526+K526+M526-N526</f>
        <v>46315</v>
      </c>
      <c r="AG526" s="13">
        <f>SUM(O526:AE526)</f>
        <v>46315</v>
      </c>
      <c r="AH526" s="13">
        <f>AF526-AG526</f>
        <v>0</v>
      </c>
      <c r="AI526" s="12"/>
      <c r="AJ526" s="12"/>
      <c r="AK526" s="12"/>
    </row>
    <row r="527" spans="1:37">
      <c r="A527" s="10">
        <v>25</v>
      </c>
      <c r="B527" s="11">
        <v>1435</v>
      </c>
      <c r="C527" s="10" t="s">
        <v>556</v>
      </c>
      <c r="D527" s="11" t="s">
        <v>23</v>
      </c>
      <c r="E527" s="11"/>
      <c r="F527" s="10" t="s">
        <v>533</v>
      </c>
      <c r="G527" s="11" t="s">
        <v>26</v>
      </c>
      <c r="H527" s="9"/>
      <c r="I527" s="12"/>
      <c r="J527" s="12">
        <v>150</v>
      </c>
      <c r="K527" s="12">
        <v>2400</v>
      </c>
      <c r="L527" s="12">
        <v>11517</v>
      </c>
      <c r="M527" s="11">
        <f>L527*4+AI527-AJ527</f>
        <v>46068</v>
      </c>
      <c r="N527" s="13"/>
      <c r="O527" s="12"/>
      <c r="P527" s="12"/>
      <c r="Q527" s="12"/>
      <c r="R527" s="12"/>
      <c r="S527" s="12">
        <v>12267</v>
      </c>
      <c r="T527" s="12"/>
      <c r="U527" s="12"/>
      <c r="V527" s="12">
        <v>12117</v>
      </c>
      <c r="W527" s="12"/>
      <c r="X527" s="12"/>
      <c r="Y527" s="12"/>
      <c r="Z527" s="12"/>
      <c r="AA527" s="12"/>
      <c r="AB527" s="12"/>
      <c r="AC527" s="12"/>
      <c r="AD527" s="12"/>
      <c r="AE527" s="12"/>
      <c r="AF527" s="13">
        <f>H527+I527+J527+K527+M527-N527</f>
        <v>48618</v>
      </c>
      <c r="AG527" s="13">
        <f>SUM(O527:AE527)</f>
        <v>24384</v>
      </c>
      <c r="AH527" s="13">
        <f>AF527-AG527</f>
        <v>24234</v>
      </c>
      <c r="AI527" s="12"/>
      <c r="AJ527" s="12"/>
      <c r="AK527" s="12"/>
    </row>
    <row r="528" spans="1:37">
      <c r="A528" s="10">
        <v>26</v>
      </c>
      <c r="B528" s="11">
        <v>1195</v>
      </c>
      <c r="C528" s="10" t="s">
        <v>523</v>
      </c>
      <c r="D528" s="11" t="s">
        <v>28</v>
      </c>
      <c r="E528" s="11"/>
      <c r="F528" s="10" t="s">
        <v>533</v>
      </c>
      <c r="G528" s="11" t="s">
        <v>26</v>
      </c>
      <c r="H528" s="9"/>
      <c r="I528" s="12"/>
      <c r="J528" s="12">
        <v>150</v>
      </c>
      <c r="K528" s="12">
        <v>2400</v>
      </c>
      <c r="L528" s="12">
        <v>11517</v>
      </c>
      <c r="M528" s="11">
        <f>L528*4+AI528-AJ528</f>
        <v>46068</v>
      </c>
      <c r="N528" s="13"/>
      <c r="O528" s="12"/>
      <c r="P528" s="12"/>
      <c r="Q528" s="12"/>
      <c r="R528" s="12"/>
      <c r="S528" s="12">
        <v>12267</v>
      </c>
      <c r="T528" s="12"/>
      <c r="U528" s="12"/>
      <c r="V528" s="12"/>
      <c r="W528" s="12"/>
      <c r="X528" s="12"/>
      <c r="Y528" s="12"/>
      <c r="Z528" s="12"/>
      <c r="AA528" s="12"/>
      <c r="AB528" s="12"/>
      <c r="AC528" s="12"/>
      <c r="AD528" s="12"/>
      <c r="AE528" s="12"/>
      <c r="AF528" s="13">
        <f>H528+I528+J528+K528+M528-N528</f>
        <v>48618</v>
      </c>
      <c r="AG528" s="13">
        <f>SUM(O528:AE528)</f>
        <v>12267</v>
      </c>
      <c r="AH528" s="13">
        <f>AF528-AG528</f>
        <v>36351</v>
      </c>
      <c r="AI528" s="12"/>
      <c r="AJ528" s="12"/>
      <c r="AK528" s="12"/>
    </row>
    <row r="529" spans="1:37">
      <c r="A529" s="10">
        <v>27</v>
      </c>
      <c r="B529" s="11">
        <v>1252</v>
      </c>
      <c r="C529" s="10" t="s">
        <v>557</v>
      </c>
      <c r="D529" s="11" t="s">
        <v>28</v>
      </c>
      <c r="E529" s="11"/>
      <c r="F529" s="10" t="s">
        <v>533</v>
      </c>
      <c r="G529" s="11" t="s">
        <v>26</v>
      </c>
      <c r="H529" s="9"/>
      <c r="I529" s="12"/>
      <c r="J529" s="12">
        <v>150</v>
      </c>
      <c r="K529" s="12">
        <v>2400</v>
      </c>
      <c r="L529" s="12">
        <v>11517</v>
      </c>
      <c r="M529" s="11">
        <f>L529*4+AI529-AJ529</f>
        <v>46068</v>
      </c>
      <c r="N529" s="13"/>
      <c r="O529" s="12"/>
      <c r="P529" s="12"/>
      <c r="Q529" s="12"/>
      <c r="R529" s="12"/>
      <c r="S529" s="12"/>
      <c r="T529" s="12">
        <v>12267</v>
      </c>
      <c r="U529" s="12"/>
      <c r="V529" s="12"/>
      <c r="W529" s="12"/>
      <c r="X529" s="12"/>
      <c r="Y529" s="12"/>
      <c r="Z529" s="12"/>
      <c r="AA529" s="12"/>
      <c r="AB529" s="12"/>
      <c r="AC529" s="12"/>
      <c r="AD529" s="12"/>
      <c r="AE529" s="12"/>
      <c r="AF529" s="13">
        <f>H529+I529+J529+K529+M529-N529</f>
        <v>48618</v>
      </c>
      <c r="AG529" s="13">
        <f>SUM(O529:AE529)</f>
        <v>12267</v>
      </c>
      <c r="AH529" s="13">
        <f>AF529-AG529</f>
        <v>36351</v>
      </c>
      <c r="AI529" s="12"/>
      <c r="AJ529" s="12"/>
      <c r="AK529" s="12"/>
    </row>
    <row r="530" spans="1:37">
      <c r="A530" s="10">
        <v>28</v>
      </c>
      <c r="B530" s="11">
        <v>1101</v>
      </c>
      <c r="C530" s="10" t="s">
        <v>558</v>
      </c>
      <c r="D530" s="11" t="s">
        <v>23</v>
      </c>
      <c r="E530" s="11"/>
      <c r="F530" s="10" t="s">
        <v>533</v>
      </c>
      <c r="G530" s="11" t="s">
        <v>26</v>
      </c>
      <c r="H530" s="9"/>
      <c r="I530" s="12"/>
      <c r="J530" s="12">
        <v>150</v>
      </c>
      <c r="K530" s="12">
        <v>2400</v>
      </c>
      <c r="L530" s="12">
        <v>11517</v>
      </c>
      <c r="M530" s="11">
        <f>L530*4+AI530-AJ530</f>
        <v>46068</v>
      </c>
      <c r="N530" s="13">
        <v>2303</v>
      </c>
      <c r="O530" s="12"/>
      <c r="P530" s="12"/>
      <c r="Q530" s="12"/>
      <c r="R530" s="12"/>
      <c r="S530" s="12"/>
      <c r="T530" s="12">
        <v>46315</v>
      </c>
      <c r="U530" s="12"/>
      <c r="V530" s="12"/>
      <c r="W530" s="12"/>
      <c r="X530" s="12"/>
      <c r="Y530" s="12"/>
      <c r="Z530" s="12"/>
      <c r="AA530" s="12"/>
      <c r="AB530" s="12"/>
      <c r="AC530" s="12"/>
      <c r="AD530" s="12"/>
      <c r="AE530" s="12"/>
      <c r="AF530" s="13">
        <f>H530+I530+J530+K530+M530-N530</f>
        <v>46315</v>
      </c>
      <c r="AG530" s="13">
        <f>SUM(O530:AE530)</f>
        <v>46315</v>
      </c>
      <c r="AH530" s="13">
        <f>AF530-AG530</f>
        <v>0</v>
      </c>
      <c r="AI530" s="12"/>
      <c r="AJ530" s="12"/>
      <c r="AK530" s="12"/>
    </row>
    <row r="531" spans="1:37">
      <c r="A531" s="10">
        <v>29</v>
      </c>
      <c r="B531" s="15">
        <v>1620</v>
      </c>
      <c r="C531" s="14" t="s">
        <v>559</v>
      </c>
      <c r="D531" s="15" t="s">
        <v>28</v>
      </c>
      <c r="E531" s="15"/>
      <c r="F531" s="14" t="s">
        <v>533</v>
      </c>
      <c r="G531" s="15" t="s">
        <v>26</v>
      </c>
      <c r="H531" s="9"/>
      <c r="I531" s="12"/>
      <c r="J531" s="12">
        <v>150</v>
      </c>
      <c r="K531" s="12">
        <v>0</v>
      </c>
      <c r="L531" s="12">
        <v>0</v>
      </c>
      <c r="M531" s="11">
        <f>L531*4+AI531-AJ531</f>
        <v>0</v>
      </c>
      <c r="N531" s="13"/>
      <c r="O531" s="12"/>
      <c r="P531" s="12"/>
      <c r="Q531" s="12"/>
      <c r="R531" s="12"/>
      <c r="S531" s="12"/>
      <c r="T531" s="12">
        <v>150</v>
      </c>
      <c r="U531" s="12"/>
      <c r="V531" s="12"/>
      <c r="W531" s="12"/>
      <c r="X531" s="12"/>
      <c r="Y531" s="12"/>
      <c r="Z531" s="12"/>
      <c r="AA531" s="12"/>
      <c r="AB531" s="12"/>
      <c r="AC531" s="12"/>
      <c r="AD531" s="12"/>
      <c r="AE531" s="12"/>
      <c r="AF531" s="13">
        <f>H531+I531+J531+K531+M531-N531</f>
        <v>150</v>
      </c>
      <c r="AG531" s="13">
        <f>SUM(O531:AE531)</f>
        <v>150</v>
      </c>
      <c r="AH531" s="13">
        <f>AF531-AG531</f>
        <v>0</v>
      </c>
      <c r="AI531" s="12"/>
      <c r="AJ531" s="12"/>
      <c r="AK531" s="12"/>
    </row>
    <row r="532" spans="1:37">
      <c r="A532" s="10">
        <v>30</v>
      </c>
      <c r="B532" s="11">
        <v>1255</v>
      </c>
      <c r="C532" s="10" t="s">
        <v>560</v>
      </c>
      <c r="D532" s="11" t="s">
        <v>23</v>
      </c>
      <c r="E532" s="11"/>
      <c r="F532" s="10" t="s">
        <v>533</v>
      </c>
      <c r="G532" s="11" t="s">
        <v>26</v>
      </c>
      <c r="H532" s="9"/>
      <c r="I532" s="12"/>
      <c r="J532" s="12">
        <v>150</v>
      </c>
      <c r="K532" s="12">
        <v>2400</v>
      </c>
      <c r="L532" s="12">
        <v>11517</v>
      </c>
      <c r="M532" s="11">
        <f>L532*4+AI532-AJ532</f>
        <v>46068</v>
      </c>
      <c r="N532" s="13"/>
      <c r="O532" s="12"/>
      <c r="P532" s="12"/>
      <c r="Q532" s="12"/>
      <c r="R532" s="12"/>
      <c r="S532" s="12"/>
      <c r="T532" s="12">
        <v>12267</v>
      </c>
      <c r="U532" s="12"/>
      <c r="V532" s="12"/>
      <c r="W532" s="12"/>
      <c r="X532" s="12"/>
      <c r="Y532" s="12"/>
      <c r="Z532" s="12"/>
      <c r="AA532" s="12"/>
      <c r="AB532" s="12"/>
      <c r="AC532" s="12"/>
      <c r="AD532" s="12"/>
      <c r="AE532" s="12"/>
      <c r="AF532" s="13">
        <f>H532+I532+J532+K532+M532-N532</f>
        <v>48618</v>
      </c>
      <c r="AG532" s="13">
        <f>SUM(O532:AE532)</f>
        <v>12267</v>
      </c>
      <c r="AH532" s="13">
        <f>AF532-AG532</f>
        <v>36351</v>
      </c>
      <c r="AI532" s="12"/>
      <c r="AJ532" s="12"/>
      <c r="AK532" s="12"/>
    </row>
    <row r="533" spans="1:37">
      <c r="A533" s="10">
        <v>31</v>
      </c>
      <c r="B533" s="11">
        <v>1329</v>
      </c>
      <c r="C533" s="10" t="s">
        <v>561</v>
      </c>
      <c r="D533" s="11" t="s">
        <v>28</v>
      </c>
      <c r="E533" s="11"/>
      <c r="F533" s="10" t="s">
        <v>533</v>
      </c>
      <c r="G533" s="11" t="s">
        <v>26</v>
      </c>
      <c r="H533" s="9"/>
      <c r="I533" s="12"/>
      <c r="J533" s="12">
        <v>150</v>
      </c>
      <c r="K533" s="12">
        <v>2400</v>
      </c>
      <c r="L533" s="12">
        <v>11517</v>
      </c>
      <c r="M533" s="11">
        <f>L533*4+AI533-AJ533</f>
        <v>46068</v>
      </c>
      <c r="N533" s="13"/>
      <c r="O533" s="12"/>
      <c r="P533" s="12"/>
      <c r="Q533" s="12"/>
      <c r="R533" s="12"/>
      <c r="S533" s="12"/>
      <c r="T533" s="12">
        <v>12267</v>
      </c>
      <c r="U533" s="12"/>
      <c r="V533" s="12"/>
      <c r="W533" s="12"/>
      <c r="X533" s="12"/>
      <c r="Y533" s="12"/>
      <c r="Z533" s="12"/>
      <c r="AA533" s="12"/>
      <c r="AB533" s="12"/>
      <c r="AC533" s="12"/>
      <c r="AD533" s="12"/>
      <c r="AE533" s="12"/>
      <c r="AF533" s="13">
        <f>H533+I533+J533+K533+M533-N533</f>
        <v>48618</v>
      </c>
      <c r="AG533" s="13">
        <f>SUM(O533:AE533)</f>
        <v>12267</v>
      </c>
      <c r="AH533" s="13">
        <f>AF533-AG533</f>
        <v>36351</v>
      </c>
      <c r="AI533" s="12"/>
      <c r="AJ533" s="12"/>
      <c r="AK533" s="12"/>
    </row>
    <row r="534" spans="1:37">
      <c r="A534" s="10">
        <v>32</v>
      </c>
      <c r="B534" s="22">
        <v>2222</v>
      </c>
      <c r="C534" s="21" t="s">
        <v>562</v>
      </c>
      <c r="D534" s="22" t="s">
        <v>28</v>
      </c>
      <c r="E534" s="22" t="s">
        <v>24</v>
      </c>
      <c r="F534" s="21" t="s">
        <v>533</v>
      </c>
      <c r="G534" s="22" t="s">
        <v>26</v>
      </c>
      <c r="H534" s="9">
        <v>5000</v>
      </c>
      <c r="I534" s="12">
        <v>1200</v>
      </c>
      <c r="J534" s="12">
        <v>150</v>
      </c>
      <c r="K534" s="12">
        <v>2400</v>
      </c>
      <c r="L534" s="12">
        <v>11517</v>
      </c>
      <c r="M534" s="11">
        <f>L534*4+AI534-AJ534</f>
        <v>46068</v>
      </c>
      <c r="N534" s="13"/>
      <c r="O534" s="12">
        <v>5000</v>
      </c>
      <c r="P534" s="12">
        <v>1200</v>
      </c>
      <c r="Q534" s="12"/>
      <c r="R534" s="11">
        <f>11517+150+600</f>
        <v>12267</v>
      </c>
      <c r="S534" s="12"/>
      <c r="T534" s="12"/>
      <c r="U534" s="12"/>
      <c r="V534" s="12"/>
      <c r="W534" s="12"/>
      <c r="X534" s="12"/>
      <c r="Y534" s="12"/>
      <c r="Z534" s="12"/>
      <c r="AA534" s="12"/>
      <c r="AB534" s="12"/>
      <c r="AC534" s="12"/>
      <c r="AD534" s="12"/>
      <c r="AE534" s="12"/>
      <c r="AF534" s="13">
        <f>H534+I534+J534+K534+M534-N534</f>
        <v>54818</v>
      </c>
      <c r="AG534" s="13">
        <f>SUM(O534:AE534)</f>
        <v>18467</v>
      </c>
      <c r="AH534" s="13">
        <f>AF534-AG534</f>
        <v>36351</v>
      </c>
      <c r="AI534" s="12"/>
      <c r="AJ534" s="12"/>
      <c r="AK534" s="12"/>
    </row>
    <row r="535" spans="1:37">
      <c r="A535" s="10">
        <v>33</v>
      </c>
      <c r="B535" s="22">
        <v>2206</v>
      </c>
      <c r="C535" s="21" t="s">
        <v>563</v>
      </c>
      <c r="D535" s="22" t="s">
        <v>28</v>
      </c>
      <c r="E535" s="22" t="s">
        <v>24</v>
      </c>
      <c r="F535" s="21" t="s">
        <v>533</v>
      </c>
      <c r="G535" s="22" t="s">
        <v>26</v>
      </c>
      <c r="H535" s="9">
        <v>5000</v>
      </c>
      <c r="I535" s="12">
        <v>1200</v>
      </c>
      <c r="J535" s="12">
        <v>150</v>
      </c>
      <c r="K535" s="12">
        <v>2400</v>
      </c>
      <c r="L535" s="12">
        <v>11517</v>
      </c>
      <c r="M535" s="11">
        <f>L535*4+AI535-AJ535</f>
        <v>46068</v>
      </c>
      <c r="N535" s="13"/>
      <c r="O535" s="12">
        <v>5000</v>
      </c>
      <c r="P535" s="12">
        <v>1200</v>
      </c>
      <c r="Q535" s="12"/>
      <c r="R535" s="11">
        <f>11517+150+600</f>
        <v>12267</v>
      </c>
      <c r="S535" s="12"/>
      <c r="T535" s="12"/>
      <c r="U535" s="12"/>
      <c r="V535" s="12"/>
      <c r="W535" s="12"/>
      <c r="X535" s="12"/>
      <c r="Y535" s="12"/>
      <c r="Z535" s="12"/>
      <c r="AA535" s="12"/>
      <c r="AB535" s="12"/>
      <c r="AC535" s="12"/>
      <c r="AD535" s="12"/>
      <c r="AE535" s="12"/>
      <c r="AF535" s="13">
        <f>H535+I535+J535+K535+M535-N535</f>
        <v>54818</v>
      </c>
      <c r="AG535" s="13">
        <f>SUM(O535:AE535)</f>
        <v>18467</v>
      </c>
      <c r="AH535" s="13">
        <f>AF535-AG535</f>
        <v>36351</v>
      </c>
      <c r="AI535" s="12"/>
      <c r="AJ535" s="12"/>
      <c r="AK535" s="12"/>
    </row>
    <row r="536" spans="1:37">
      <c r="A536" s="10">
        <v>34</v>
      </c>
      <c r="B536" s="11">
        <v>1183</v>
      </c>
      <c r="C536" s="10" t="s">
        <v>564</v>
      </c>
      <c r="D536" s="11" t="s">
        <v>28</v>
      </c>
      <c r="E536" s="11"/>
      <c r="F536" s="10" t="s">
        <v>533</v>
      </c>
      <c r="G536" s="11" t="s">
        <v>26</v>
      </c>
      <c r="H536" s="9"/>
      <c r="I536" s="12"/>
      <c r="J536" s="12">
        <v>150</v>
      </c>
      <c r="K536" s="12">
        <v>2400</v>
      </c>
      <c r="L536" s="12">
        <v>11517</v>
      </c>
      <c r="M536" s="11">
        <f>L536*4+AI536-AJ536</f>
        <v>46068</v>
      </c>
      <c r="N536" s="13"/>
      <c r="O536" s="12"/>
      <c r="P536" s="12"/>
      <c r="Q536" s="12"/>
      <c r="R536" s="12"/>
      <c r="S536" s="12">
        <v>12267</v>
      </c>
      <c r="T536" s="12"/>
      <c r="U536" s="12"/>
      <c r="V536" s="12">
        <v>12117</v>
      </c>
      <c r="W536" s="12"/>
      <c r="X536" s="12"/>
      <c r="Y536" s="12"/>
      <c r="Z536" s="12"/>
      <c r="AA536" s="12"/>
      <c r="AB536" s="12"/>
      <c r="AC536" s="12"/>
      <c r="AD536" s="12"/>
      <c r="AE536" s="12"/>
      <c r="AF536" s="13">
        <f>H536+I536+J536+K536+M536-N536</f>
        <v>48618</v>
      </c>
      <c r="AG536" s="13">
        <f>SUM(O536:AE536)</f>
        <v>24384</v>
      </c>
      <c r="AH536" s="13">
        <f>AF536-AG536</f>
        <v>24234</v>
      </c>
      <c r="AI536" s="12"/>
      <c r="AJ536" s="12"/>
      <c r="AK536" s="12"/>
    </row>
    <row r="537" spans="1:37">
      <c r="A537" s="10">
        <v>35</v>
      </c>
      <c r="B537" s="11">
        <v>1097</v>
      </c>
      <c r="C537" s="10" t="s">
        <v>565</v>
      </c>
      <c r="D537" s="11" t="s">
        <v>23</v>
      </c>
      <c r="E537" s="11"/>
      <c r="F537" s="10" t="s">
        <v>533</v>
      </c>
      <c r="G537" s="11" t="s">
        <v>26</v>
      </c>
      <c r="H537" s="9"/>
      <c r="I537" s="12"/>
      <c r="J537" s="12">
        <v>150</v>
      </c>
      <c r="K537" s="12">
        <v>2400</v>
      </c>
      <c r="L537" s="12">
        <v>11517</v>
      </c>
      <c r="M537" s="11">
        <f>L537*4+AI537-AJ537</f>
        <v>46068</v>
      </c>
      <c r="N537" s="13"/>
      <c r="O537" s="12"/>
      <c r="P537" s="12"/>
      <c r="Q537" s="12"/>
      <c r="R537" s="12"/>
      <c r="S537" s="12"/>
      <c r="T537" s="12">
        <v>12267</v>
      </c>
      <c r="U537" s="12"/>
      <c r="V537" s="12"/>
      <c r="W537" s="12"/>
      <c r="X537" s="12"/>
      <c r="Y537" s="12"/>
      <c r="Z537" s="12"/>
      <c r="AA537" s="12"/>
      <c r="AB537" s="12"/>
      <c r="AC537" s="12"/>
      <c r="AD537" s="12"/>
      <c r="AE537" s="12"/>
      <c r="AF537" s="13">
        <f>H537+I537+J537+K537+M537-N537</f>
        <v>48618</v>
      </c>
      <c r="AG537" s="13">
        <f>SUM(O537:AE537)</f>
        <v>12267</v>
      </c>
      <c r="AH537" s="13">
        <f>AF537-AG537</f>
        <v>36351</v>
      </c>
      <c r="AI537" s="12"/>
      <c r="AJ537" s="12"/>
      <c r="AK537" s="12"/>
    </row>
    <row r="538" spans="1:37">
      <c r="A538" s="10">
        <v>1</v>
      </c>
      <c r="B538" s="11">
        <v>1512</v>
      </c>
      <c r="C538" s="10" t="s">
        <v>566</v>
      </c>
      <c r="D538" s="11" t="s">
        <v>23</v>
      </c>
      <c r="E538" s="11"/>
      <c r="F538" s="10" t="s">
        <v>533</v>
      </c>
      <c r="G538" s="11" t="s">
        <v>62</v>
      </c>
      <c r="H538" s="9"/>
      <c r="I538" s="12"/>
      <c r="J538" s="12">
        <v>150</v>
      </c>
      <c r="K538" s="12">
        <v>2400</v>
      </c>
      <c r="L538" s="12">
        <v>11517</v>
      </c>
      <c r="M538" s="11">
        <f>L538*4+AI538-AJ538</f>
        <v>46068</v>
      </c>
      <c r="N538" s="13"/>
      <c r="O538" s="12"/>
      <c r="P538" s="12"/>
      <c r="Q538" s="12"/>
      <c r="R538" s="12"/>
      <c r="S538" s="12">
        <v>12267</v>
      </c>
      <c r="T538" s="12"/>
      <c r="U538" s="12"/>
      <c r="V538" s="12"/>
      <c r="W538" s="12"/>
      <c r="X538" s="12"/>
      <c r="Y538" s="12"/>
      <c r="Z538" s="12"/>
      <c r="AA538" s="12"/>
      <c r="AB538" s="12"/>
      <c r="AC538" s="12"/>
      <c r="AD538" s="12"/>
      <c r="AE538" s="12"/>
      <c r="AF538" s="13">
        <f>H538+I538+J538+K538+M538-N538</f>
        <v>48618</v>
      </c>
      <c r="AG538" s="13">
        <f>SUM(O538:AE538)</f>
        <v>12267</v>
      </c>
      <c r="AH538" s="13">
        <f>AF538-AG538</f>
        <v>36351</v>
      </c>
      <c r="AI538" s="12"/>
      <c r="AJ538" s="12"/>
      <c r="AK538" s="12"/>
    </row>
    <row r="539" spans="1:37">
      <c r="A539" s="10">
        <v>2</v>
      </c>
      <c r="B539" s="11">
        <v>1531</v>
      </c>
      <c r="C539" s="10" t="s">
        <v>567</v>
      </c>
      <c r="D539" s="11" t="s">
        <v>28</v>
      </c>
      <c r="E539" s="11"/>
      <c r="F539" s="10" t="s">
        <v>533</v>
      </c>
      <c r="G539" s="11" t="s">
        <v>62</v>
      </c>
      <c r="H539" s="9"/>
      <c r="I539" s="12"/>
      <c r="J539" s="12">
        <v>150</v>
      </c>
      <c r="K539" s="12">
        <v>2400</v>
      </c>
      <c r="L539" s="12">
        <v>11517</v>
      </c>
      <c r="M539" s="11">
        <f>L539*4+AI539-AJ539</f>
        <v>46068</v>
      </c>
      <c r="N539" s="13"/>
      <c r="O539" s="12"/>
      <c r="P539" s="12"/>
      <c r="Q539" s="12"/>
      <c r="R539" s="12"/>
      <c r="S539" s="12">
        <v>12267</v>
      </c>
      <c r="T539" s="12"/>
      <c r="U539" s="12"/>
      <c r="V539" s="12"/>
      <c r="W539" s="12"/>
      <c r="X539" s="12"/>
      <c r="Y539" s="12"/>
      <c r="Z539" s="12"/>
      <c r="AA539" s="12"/>
      <c r="AB539" s="12"/>
      <c r="AC539" s="12"/>
      <c r="AD539" s="12"/>
      <c r="AE539" s="12"/>
      <c r="AF539" s="13">
        <f>H539+I539+J539+K539+M539-N539</f>
        <v>48618</v>
      </c>
      <c r="AG539" s="13">
        <f>SUM(O539:AE539)</f>
        <v>12267</v>
      </c>
      <c r="AH539" s="13">
        <f>AF539-AG539</f>
        <v>36351</v>
      </c>
      <c r="AI539" s="12"/>
      <c r="AJ539" s="12"/>
      <c r="AK539" s="12"/>
    </row>
    <row r="540" spans="1:37">
      <c r="A540" s="10">
        <v>3</v>
      </c>
      <c r="B540" s="11">
        <v>1276</v>
      </c>
      <c r="C540" s="10" t="s">
        <v>568</v>
      </c>
      <c r="D540" s="11" t="s">
        <v>28</v>
      </c>
      <c r="E540" s="11"/>
      <c r="F540" s="10" t="s">
        <v>533</v>
      </c>
      <c r="G540" s="11" t="s">
        <v>62</v>
      </c>
      <c r="H540" s="9"/>
      <c r="I540" s="12"/>
      <c r="J540" s="12">
        <v>150</v>
      </c>
      <c r="K540" s="12">
        <v>2400</v>
      </c>
      <c r="L540" s="12">
        <v>11517</v>
      </c>
      <c r="M540" s="11">
        <f>L540*4+AI540-AJ540</f>
        <v>46068</v>
      </c>
      <c r="N540" s="13"/>
      <c r="O540" s="12"/>
      <c r="P540" s="12"/>
      <c r="Q540" s="12"/>
      <c r="R540" s="12"/>
      <c r="S540" s="12"/>
      <c r="T540" s="12">
        <v>12267</v>
      </c>
      <c r="U540" s="12"/>
      <c r="V540" s="12"/>
      <c r="W540" s="12"/>
      <c r="X540" s="12"/>
      <c r="Y540" s="12"/>
      <c r="Z540" s="12"/>
      <c r="AA540" s="12"/>
      <c r="AB540" s="12"/>
      <c r="AC540" s="12"/>
      <c r="AD540" s="12"/>
      <c r="AE540" s="12"/>
      <c r="AF540" s="13">
        <f>H540+I540+J540+K540+M540-N540</f>
        <v>48618</v>
      </c>
      <c r="AG540" s="13">
        <f>SUM(O540:AE540)</f>
        <v>12267</v>
      </c>
      <c r="AH540" s="13">
        <f>AF540-AG540</f>
        <v>36351</v>
      </c>
      <c r="AI540" s="12"/>
      <c r="AJ540" s="12"/>
      <c r="AK540" s="12"/>
    </row>
    <row r="541" spans="1:37">
      <c r="A541" s="10">
        <v>4</v>
      </c>
      <c r="B541" s="11">
        <v>1346</v>
      </c>
      <c r="C541" s="10" t="s">
        <v>569</v>
      </c>
      <c r="D541" s="11" t="s">
        <v>28</v>
      </c>
      <c r="E541" s="11"/>
      <c r="F541" s="10" t="s">
        <v>533</v>
      </c>
      <c r="G541" s="11" t="s">
        <v>62</v>
      </c>
      <c r="H541" s="9"/>
      <c r="I541" s="12"/>
      <c r="J541" s="12">
        <v>150</v>
      </c>
      <c r="K541" s="12">
        <v>2400</v>
      </c>
      <c r="L541" s="12">
        <v>11517</v>
      </c>
      <c r="M541" s="11">
        <f>L541*4+AI541-AJ541</f>
        <v>46068</v>
      </c>
      <c r="N541" s="13"/>
      <c r="O541" s="12"/>
      <c r="P541" s="12"/>
      <c r="Q541" s="12"/>
      <c r="R541" s="12"/>
      <c r="S541" s="12"/>
      <c r="T541" s="12"/>
      <c r="U541" s="12"/>
      <c r="V541" s="12">
        <v>12267</v>
      </c>
      <c r="W541" s="12"/>
      <c r="X541" s="12"/>
      <c r="Y541" s="12"/>
      <c r="Z541" s="12"/>
      <c r="AA541" s="12"/>
      <c r="AB541" s="12"/>
      <c r="AC541" s="12"/>
      <c r="AD541" s="12"/>
      <c r="AE541" s="12"/>
      <c r="AF541" s="13">
        <f>H541+I541+J541+K541+M541-N541</f>
        <v>48618</v>
      </c>
      <c r="AG541" s="13">
        <f>SUM(O541:AE541)</f>
        <v>12267</v>
      </c>
      <c r="AH541" s="13">
        <f>AF541-AG541</f>
        <v>36351</v>
      </c>
      <c r="AI541" s="12"/>
      <c r="AJ541" s="12"/>
      <c r="AK541" s="12"/>
    </row>
    <row r="542" spans="1:37">
      <c r="A542" s="10">
        <v>5</v>
      </c>
      <c r="B542" s="11">
        <v>1229</v>
      </c>
      <c r="C542" s="10" t="s">
        <v>570</v>
      </c>
      <c r="D542" s="11" t="s">
        <v>28</v>
      </c>
      <c r="E542" s="11"/>
      <c r="F542" s="10" t="s">
        <v>533</v>
      </c>
      <c r="G542" s="11" t="s">
        <v>62</v>
      </c>
      <c r="H542" s="9"/>
      <c r="I542" s="12"/>
      <c r="J542" s="12">
        <v>150</v>
      </c>
      <c r="K542" s="12">
        <v>2400</v>
      </c>
      <c r="L542" s="12">
        <v>11517</v>
      </c>
      <c r="M542" s="11">
        <f>L542*4+AI542-AJ542</f>
        <v>46068</v>
      </c>
      <c r="N542" s="13"/>
      <c r="O542" s="12"/>
      <c r="P542" s="12"/>
      <c r="Q542" s="12"/>
      <c r="R542" s="12"/>
      <c r="S542" s="12"/>
      <c r="T542" s="12">
        <v>12267</v>
      </c>
      <c r="U542" s="12"/>
      <c r="V542" s="12"/>
      <c r="W542" s="12"/>
      <c r="X542" s="12"/>
      <c r="Y542" s="12"/>
      <c r="Z542" s="12"/>
      <c r="AA542" s="12"/>
      <c r="AB542" s="12"/>
      <c r="AC542" s="12"/>
      <c r="AD542" s="12"/>
      <c r="AE542" s="12"/>
      <c r="AF542" s="13">
        <f>H542+I542+J542+K542+M542-N542</f>
        <v>48618</v>
      </c>
      <c r="AG542" s="13">
        <f>SUM(O542:AE542)</f>
        <v>12267</v>
      </c>
      <c r="AH542" s="13">
        <f>AF542-AG542</f>
        <v>36351</v>
      </c>
      <c r="AI542" s="12"/>
      <c r="AJ542" s="12"/>
      <c r="AK542" s="12"/>
    </row>
    <row r="543" spans="1:37">
      <c r="A543" s="10">
        <v>6</v>
      </c>
      <c r="B543" s="11">
        <v>1510</v>
      </c>
      <c r="C543" s="10" t="s">
        <v>571</v>
      </c>
      <c r="D543" s="11" t="s">
        <v>28</v>
      </c>
      <c r="E543" s="11"/>
      <c r="F543" s="10" t="s">
        <v>533</v>
      </c>
      <c r="G543" s="11" t="s">
        <v>62</v>
      </c>
      <c r="H543" s="9"/>
      <c r="I543" s="12"/>
      <c r="J543" s="12">
        <v>150</v>
      </c>
      <c r="K543" s="12">
        <v>2400</v>
      </c>
      <c r="L543" s="12">
        <v>11517</v>
      </c>
      <c r="M543" s="11">
        <f>L543*4+AI543-AJ543</f>
        <v>46068</v>
      </c>
      <c r="N543" s="13"/>
      <c r="O543" s="12"/>
      <c r="P543" s="12"/>
      <c r="Q543" s="12"/>
      <c r="R543" s="12"/>
      <c r="S543" s="12">
        <v>12267</v>
      </c>
      <c r="T543" s="12"/>
      <c r="U543" s="12"/>
      <c r="V543" s="12"/>
      <c r="W543" s="12"/>
      <c r="X543" s="12"/>
      <c r="Y543" s="12"/>
      <c r="Z543" s="12"/>
      <c r="AA543" s="12"/>
      <c r="AB543" s="12"/>
      <c r="AC543" s="12"/>
      <c r="AD543" s="12"/>
      <c r="AE543" s="12"/>
      <c r="AF543" s="13">
        <f>H543+I543+J543+K543+M543-N543</f>
        <v>48618</v>
      </c>
      <c r="AG543" s="13">
        <f>SUM(O543:AE543)</f>
        <v>12267</v>
      </c>
      <c r="AH543" s="13">
        <f>AF543-AG543</f>
        <v>36351</v>
      </c>
      <c r="AI543" s="12"/>
      <c r="AJ543" s="12"/>
      <c r="AK543" s="12"/>
    </row>
    <row r="544" spans="1:37">
      <c r="A544" s="10">
        <v>7</v>
      </c>
      <c r="B544" s="11">
        <v>1500</v>
      </c>
      <c r="C544" s="10" t="s">
        <v>572</v>
      </c>
      <c r="D544" s="11" t="s">
        <v>28</v>
      </c>
      <c r="E544" s="11"/>
      <c r="F544" s="10" t="s">
        <v>533</v>
      </c>
      <c r="G544" s="11" t="s">
        <v>62</v>
      </c>
      <c r="H544" s="9"/>
      <c r="I544" s="12"/>
      <c r="J544" s="12">
        <v>150</v>
      </c>
      <c r="K544" s="12">
        <v>2400</v>
      </c>
      <c r="L544" s="12">
        <v>11517</v>
      </c>
      <c r="M544" s="11">
        <f>L544*4+AI544-AJ544</f>
        <v>56474</v>
      </c>
      <c r="N544" s="13"/>
      <c r="O544" s="12"/>
      <c r="P544" s="12"/>
      <c r="Q544" s="12"/>
      <c r="R544" s="12"/>
      <c r="S544" s="12"/>
      <c r="T544" s="12"/>
      <c r="U544" s="11">
        <f>12000+267</f>
        <v>12267</v>
      </c>
      <c r="V544" s="12"/>
      <c r="W544" s="12"/>
      <c r="X544" s="12"/>
      <c r="Y544" s="12"/>
      <c r="Z544" s="12"/>
      <c r="AA544" s="12"/>
      <c r="AB544" s="12"/>
      <c r="AC544" s="12"/>
      <c r="AD544" s="12"/>
      <c r="AE544" s="12"/>
      <c r="AF544" s="13">
        <f>H544+I544+J544+K544+M544-N544</f>
        <v>59024</v>
      </c>
      <c r="AG544" s="13">
        <f>SUM(O544:AE544)</f>
        <v>12267</v>
      </c>
      <c r="AH544" s="13">
        <f>AF544-AG544</f>
        <v>46757</v>
      </c>
      <c r="AI544" s="12">
        <v>10406</v>
      </c>
      <c r="AJ544" s="12"/>
      <c r="AK544" s="12"/>
    </row>
    <row r="545" spans="1:37">
      <c r="A545" s="10">
        <v>8</v>
      </c>
      <c r="B545" s="11">
        <v>1110</v>
      </c>
      <c r="C545" s="10" t="s">
        <v>573</v>
      </c>
      <c r="D545" s="11" t="s">
        <v>23</v>
      </c>
      <c r="E545" s="11"/>
      <c r="F545" s="10" t="s">
        <v>533</v>
      </c>
      <c r="G545" s="11" t="s">
        <v>62</v>
      </c>
      <c r="H545" s="9"/>
      <c r="I545" s="12"/>
      <c r="J545" s="12">
        <v>150</v>
      </c>
      <c r="K545" s="12">
        <v>2400</v>
      </c>
      <c r="L545" s="12">
        <v>11517</v>
      </c>
      <c r="M545" s="11">
        <f>L545*4+AI545-AJ545</f>
        <v>46068</v>
      </c>
      <c r="N545" s="13"/>
      <c r="O545" s="12"/>
      <c r="P545" s="12"/>
      <c r="Q545" s="12"/>
      <c r="R545" s="12"/>
      <c r="S545" s="12">
        <v>12267</v>
      </c>
      <c r="T545" s="12"/>
      <c r="U545" s="12"/>
      <c r="V545" s="12">
        <v>12117</v>
      </c>
      <c r="W545" s="12"/>
      <c r="X545" s="12"/>
      <c r="Y545" s="12"/>
      <c r="Z545" s="12"/>
      <c r="AA545" s="12"/>
      <c r="AB545" s="12"/>
      <c r="AC545" s="12"/>
      <c r="AD545" s="12"/>
      <c r="AE545" s="12"/>
      <c r="AF545" s="13">
        <f>H545+I545+J545+K545+M545-N545</f>
        <v>48618</v>
      </c>
      <c r="AG545" s="13">
        <f>SUM(O545:AE545)</f>
        <v>24384</v>
      </c>
      <c r="AH545" s="13">
        <f>AF545-AG545</f>
        <v>24234</v>
      </c>
      <c r="AI545" s="12"/>
      <c r="AJ545" s="12"/>
      <c r="AK545" s="12"/>
    </row>
    <row r="546" spans="1:37">
      <c r="A546" s="10">
        <v>9</v>
      </c>
      <c r="B546" s="11">
        <v>1096</v>
      </c>
      <c r="C546" s="10" t="s">
        <v>574</v>
      </c>
      <c r="D546" s="11" t="s">
        <v>28</v>
      </c>
      <c r="E546" s="11"/>
      <c r="F546" s="10" t="s">
        <v>533</v>
      </c>
      <c r="G546" s="11" t="s">
        <v>62</v>
      </c>
      <c r="H546" s="9"/>
      <c r="I546" s="12"/>
      <c r="J546" s="12">
        <v>150</v>
      </c>
      <c r="K546" s="12">
        <v>2400</v>
      </c>
      <c r="L546" s="12">
        <v>11517</v>
      </c>
      <c r="M546" s="11">
        <f>L546*4+AI546-AJ546</f>
        <v>46068</v>
      </c>
      <c r="N546" s="13"/>
      <c r="O546" s="12"/>
      <c r="P546" s="12"/>
      <c r="Q546" s="12"/>
      <c r="R546" s="12"/>
      <c r="S546" s="12"/>
      <c r="T546" s="12">
        <v>12267</v>
      </c>
      <c r="U546" s="12"/>
      <c r="V546" s="12">
        <v>12117</v>
      </c>
      <c r="W546" s="12"/>
      <c r="X546" s="12"/>
      <c r="Y546" s="12"/>
      <c r="Z546" s="12"/>
      <c r="AA546" s="12"/>
      <c r="AB546" s="12"/>
      <c r="AC546" s="12"/>
      <c r="AD546" s="12"/>
      <c r="AE546" s="12"/>
      <c r="AF546" s="13">
        <f>H546+I546+J546+K546+M546-N546</f>
        <v>48618</v>
      </c>
      <c r="AG546" s="13">
        <f>SUM(O546:AE546)</f>
        <v>24384</v>
      </c>
      <c r="AH546" s="13">
        <f>AF546-AG546</f>
        <v>24234</v>
      </c>
      <c r="AI546" s="12"/>
      <c r="AJ546" s="12"/>
      <c r="AK546" s="12"/>
    </row>
    <row r="547" spans="1:37">
      <c r="A547" s="10">
        <v>10</v>
      </c>
      <c r="B547" s="11">
        <v>1285</v>
      </c>
      <c r="C547" s="10" t="s">
        <v>575</v>
      </c>
      <c r="D547" s="11" t="s">
        <v>23</v>
      </c>
      <c r="E547" s="11"/>
      <c r="F547" s="10" t="s">
        <v>533</v>
      </c>
      <c r="G547" s="11" t="s">
        <v>62</v>
      </c>
      <c r="H547" s="9"/>
      <c r="I547" s="12"/>
      <c r="J547" s="12">
        <v>150</v>
      </c>
      <c r="K547" s="12">
        <v>2400</v>
      </c>
      <c r="L547" s="12">
        <v>11517</v>
      </c>
      <c r="M547" s="11">
        <f>L547*4+AI547-AJ547</f>
        <v>46068</v>
      </c>
      <c r="N547" s="13"/>
      <c r="O547" s="12"/>
      <c r="P547" s="12"/>
      <c r="Q547" s="12"/>
      <c r="R547" s="12"/>
      <c r="S547" s="12"/>
      <c r="T547" s="12">
        <v>12267</v>
      </c>
      <c r="U547" s="12"/>
      <c r="V547" s="12">
        <v>12117</v>
      </c>
      <c r="W547" s="12"/>
      <c r="X547" s="12"/>
      <c r="Y547" s="12"/>
      <c r="Z547" s="12"/>
      <c r="AA547" s="12"/>
      <c r="AB547" s="12"/>
      <c r="AC547" s="12"/>
      <c r="AD547" s="12"/>
      <c r="AE547" s="12"/>
      <c r="AF547" s="13">
        <f>H547+I547+J547+K547+M547-N547</f>
        <v>48618</v>
      </c>
      <c r="AG547" s="13">
        <f>SUM(O547:AE547)</f>
        <v>24384</v>
      </c>
      <c r="AH547" s="13">
        <f>AF547-AG547</f>
        <v>24234</v>
      </c>
      <c r="AI547" s="12"/>
      <c r="AJ547" s="12"/>
      <c r="AK547" s="12"/>
    </row>
    <row r="548" spans="1:37">
      <c r="A548" s="10">
        <v>11</v>
      </c>
      <c r="B548" s="11">
        <v>1470</v>
      </c>
      <c r="C548" s="10" t="s">
        <v>576</v>
      </c>
      <c r="D548" s="11" t="s">
        <v>28</v>
      </c>
      <c r="E548" s="11"/>
      <c r="F548" s="10" t="s">
        <v>533</v>
      </c>
      <c r="G548" s="11" t="s">
        <v>62</v>
      </c>
      <c r="H548" s="9"/>
      <c r="I548" s="12"/>
      <c r="J548" s="12">
        <v>150</v>
      </c>
      <c r="K548" s="12">
        <v>2400</v>
      </c>
      <c r="L548" s="12">
        <v>11517</v>
      </c>
      <c r="M548" s="11">
        <f>L548*4+AI548-AJ548</f>
        <v>46068</v>
      </c>
      <c r="N548" s="13"/>
      <c r="O548" s="12"/>
      <c r="P548" s="12"/>
      <c r="Q548" s="12"/>
      <c r="R548" s="12"/>
      <c r="S548" s="12"/>
      <c r="T548" s="12"/>
      <c r="U548" s="12">
        <v>12267</v>
      </c>
      <c r="V548" s="12"/>
      <c r="W548" s="12"/>
      <c r="X548" s="12"/>
      <c r="Y548" s="12"/>
      <c r="Z548" s="12"/>
      <c r="AA548" s="12"/>
      <c r="AB548" s="12"/>
      <c r="AC548" s="12"/>
      <c r="AD548" s="12"/>
      <c r="AE548" s="12"/>
      <c r="AF548" s="13">
        <f>H548+I548+J548+K548+M548-N548</f>
        <v>48618</v>
      </c>
      <c r="AG548" s="13">
        <f>SUM(O548:AE548)</f>
        <v>12267</v>
      </c>
      <c r="AH548" s="13">
        <f>AF548-AG548</f>
        <v>36351</v>
      </c>
      <c r="AI548" s="12"/>
      <c r="AJ548" s="12"/>
      <c r="AK548" s="12"/>
    </row>
    <row r="549" spans="1:37">
      <c r="A549" s="10">
        <v>12</v>
      </c>
      <c r="B549" s="11">
        <v>1226</v>
      </c>
      <c r="C549" s="10" t="s">
        <v>577</v>
      </c>
      <c r="D549" s="11" t="s">
        <v>28</v>
      </c>
      <c r="E549" s="11"/>
      <c r="F549" s="10" t="s">
        <v>533</v>
      </c>
      <c r="G549" s="11" t="s">
        <v>62</v>
      </c>
      <c r="H549" s="9"/>
      <c r="I549" s="12"/>
      <c r="J549" s="12">
        <v>150</v>
      </c>
      <c r="K549" s="12">
        <v>2400</v>
      </c>
      <c r="L549" s="12">
        <v>11517</v>
      </c>
      <c r="M549" s="11">
        <f>L549*4+AI549-AJ549</f>
        <v>46068</v>
      </c>
      <c r="N549" s="13"/>
      <c r="O549" s="12"/>
      <c r="P549" s="12"/>
      <c r="Q549" s="12"/>
      <c r="R549" s="12"/>
      <c r="S549" s="12">
        <v>12267</v>
      </c>
      <c r="T549" s="12"/>
      <c r="U549" s="12"/>
      <c r="V549" s="12"/>
      <c r="W549" s="12"/>
      <c r="X549" s="12"/>
      <c r="Y549" s="12"/>
      <c r="Z549" s="12"/>
      <c r="AA549" s="12"/>
      <c r="AB549" s="12"/>
      <c r="AC549" s="12"/>
      <c r="AD549" s="12"/>
      <c r="AE549" s="12"/>
      <c r="AF549" s="13">
        <f>H549+I549+J549+K549+M549-N549</f>
        <v>48618</v>
      </c>
      <c r="AG549" s="13">
        <f>SUM(O549:AE549)</f>
        <v>12267</v>
      </c>
      <c r="AH549" s="13">
        <f>AF549-AG549</f>
        <v>36351</v>
      </c>
      <c r="AI549" s="12"/>
      <c r="AJ549" s="12"/>
      <c r="AK549" s="12"/>
    </row>
    <row r="550" spans="1:37">
      <c r="A550" s="10">
        <v>13</v>
      </c>
      <c r="B550" s="11">
        <v>1234</v>
      </c>
      <c r="C550" s="10" t="s">
        <v>578</v>
      </c>
      <c r="D550" s="11" t="s">
        <v>23</v>
      </c>
      <c r="E550" s="11"/>
      <c r="F550" s="10" t="s">
        <v>533</v>
      </c>
      <c r="G550" s="11" t="s">
        <v>62</v>
      </c>
      <c r="H550" s="9"/>
      <c r="I550" s="12"/>
      <c r="J550" s="12">
        <v>150</v>
      </c>
      <c r="K550" s="12">
        <v>2400</v>
      </c>
      <c r="L550" s="12">
        <v>11517</v>
      </c>
      <c r="M550" s="11">
        <f>L550*4+AI550-AJ550</f>
        <v>46068</v>
      </c>
      <c r="N550" s="13"/>
      <c r="O550" s="12"/>
      <c r="P550" s="12"/>
      <c r="Q550" s="12"/>
      <c r="R550" s="12"/>
      <c r="S550" s="12">
        <v>12267</v>
      </c>
      <c r="T550" s="12"/>
      <c r="U550" s="12"/>
      <c r="V550" s="12">
        <v>12117</v>
      </c>
      <c r="W550" s="12"/>
      <c r="X550" s="12"/>
      <c r="Y550" s="12"/>
      <c r="Z550" s="12"/>
      <c r="AA550" s="12"/>
      <c r="AB550" s="12"/>
      <c r="AC550" s="12"/>
      <c r="AD550" s="12"/>
      <c r="AE550" s="12"/>
      <c r="AF550" s="13">
        <f>H550+I550+J550+K550+M550-N550</f>
        <v>48618</v>
      </c>
      <c r="AG550" s="13">
        <f>SUM(O550:AE550)</f>
        <v>24384</v>
      </c>
      <c r="AH550" s="13">
        <f>AF550-AG550</f>
        <v>24234</v>
      </c>
      <c r="AI550" s="12"/>
      <c r="AJ550" s="12"/>
      <c r="AK550" s="12"/>
    </row>
    <row r="551" spans="1:37">
      <c r="A551" s="10">
        <v>14</v>
      </c>
      <c r="B551" s="11">
        <v>1105</v>
      </c>
      <c r="C551" s="10" t="s">
        <v>579</v>
      </c>
      <c r="D551" s="11" t="s">
        <v>28</v>
      </c>
      <c r="E551" s="11"/>
      <c r="F551" s="10" t="s">
        <v>533</v>
      </c>
      <c r="G551" s="11" t="s">
        <v>62</v>
      </c>
      <c r="H551" s="9"/>
      <c r="I551" s="12"/>
      <c r="J551" s="12">
        <v>150</v>
      </c>
      <c r="K551" s="12">
        <v>2400</v>
      </c>
      <c r="L551" s="12">
        <v>11517</v>
      </c>
      <c r="M551" s="11">
        <f>L551*4+AI551-AJ551</f>
        <v>46068</v>
      </c>
      <c r="N551" s="13"/>
      <c r="O551" s="12"/>
      <c r="P551" s="12"/>
      <c r="Q551" s="12"/>
      <c r="R551" s="12"/>
      <c r="S551" s="12"/>
      <c r="T551" s="12">
        <v>12267</v>
      </c>
      <c r="U551" s="12"/>
      <c r="V551" s="12"/>
      <c r="W551" s="12"/>
      <c r="X551" s="12"/>
      <c r="Y551" s="12"/>
      <c r="Z551" s="12"/>
      <c r="AA551" s="12"/>
      <c r="AB551" s="12"/>
      <c r="AC551" s="12"/>
      <c r="AD551" s="12"/>
      <c r="AE551" s="12"/>
      <c r="AF551" s="13">
        <f>H551+I551+J551+K551+M551-N551</f>
        <v>48618</v>
      </c>
      <c r="AG551" s="13">
        <f>SUM(O551:AE551)</f>
        <v>12267</v>
      </c>
      <c r="AH551" s="13">
        <f>AF551-AG551</f>
        <v>36351</v>
      </c>
      <c r="AI551" s="12"/>
      <c r="AJ551" s="12"/>
      <c r="AK551" s="12"/>
    </row>
    <row r="552" spans="1:37">
      <c r="A552" s="10">
        <v>15</v>
      </c>
      <c r="B552" s="11">
        <v>1340</v>
      </c>
      <c r="C552" s="10" t="s">
        <v>580</v>
      </c>
      <c r="D552" s="11" t="s">
        <v>23</v>
      </c>
      <c r="E552" s="11"/>
      <c r="F552" s="10" t="s">
        <v>533</v>
      </c>
      <c r="G552" s="11" t="s">
        <v>62</v>
      </c>
      <c r="H552" s="9"/>
      <c r="I552" s="12"/>
      <c r="J552" s="12">
        <v>150</v>
      </c>
      <c r="K552" s="12">
        <v>2400</v>
      </c>
      <c r="L552" s="12">
        <v>11517</v>
      </c>
      <c r="M552" s="11">
        <f>L552*4+AI552-AJ552</f>
        <v>46068</v>
      </c>
      <c r="N552" s="13"/>
      <c r="O552" s="12"/>
      <c r="P552" s="12"/>
      <c r="Q552" s="12"/>
      <c r="R552" s="12"/>
      <c r="S552" s="12">
        <v>12267</v>
      </c>
      <c r="T552" s="12"/>
      <c r="U552" s="12"/>
      <c r="V552" s="12">
        <v>12117</v>
      </c>
      <c r="W552" s="12"/>
      <c r="X552" s="12"/>
      <c r="Y552" s="12"/>
      <c r="Z552" s="12"/>
      <c r="AA552" s="12"/>
      <c r="AB552" s="12"/>
      <c r="AC552" s="12"/>
      <c r="AD552" s="12"/>
      <c r="AE552" s="12"/>
      <c r="AF552" s="13">
        <f>H552+I552+J552+K552+M552-N552</f>
        <v>48618</v>
      </c>
      <c r="AG552" s="13">
        <f>SUM(O552:AE552)</f>
        <v>24384</v>
      </c>
      <c r="AH552" s="13">
        <f>AF552-AG552</f>
        <v>24234</v>
      </c>
      <c r="AI552" s="12"/>
      <c r="AJ552" s="12"/>
      <c r="AK552" s="12"/>
    </row>
    <row r="553" spans="1:37">
      <c r="A553" s="10">
        <v>16</v>
      </c>
      <c r="B553" s="11">
        <v>1197</v>
      </c>
      <c r="C553" s="10" t="s">
        <v>581</v>
      </c>
      <c r="D553" s="11" t="s">
        <v>23</v>
      </c>
      <c r="E553" s="11"/>
      <c r="F553" s="10" t="s">
        <v>533</v>
      </c>
      <c r="G553" s="11" t="s">
        <v>62</v>
      </c>
      <c r="H553" s="9"/>
      <c r="I553" s="12"/>
      <c r="J553" s="12">
        <v>150</v>
      </c>
      <c r="K553" s="12">
        <v>2400</v>
      </c>
      <c r="L553" s="12">
        <v>11517</v>
      </c>
      <c r="M553" s="11">
        <f>L553*4+AI553-AJ553</f>
        <v>46068</v>
      </c>
      <c r="N553" s="13"/>
      <c r="O553" s="12"/>
      <c r="P553" s="12"/>
      <c r="Q553" s="12"/>
      <c r="R553" s="12"/>
      <c r="S553" s="12">
        <v>12267</v>
      </c>
      <c r="T553" s="12"/>
      <c r="U553" s="12"/>
      <c r="V553" s="12"/>
      <c r="W553" s="12"/>
      <c r="X553" s="12"/>
      <c r="Y553" s="12"/>
      <c r="Z553" s="12"/>
      <c r="AA553" s="12"/>
      <c r="AB553" s="12"/>
      <c r="AC553" s="12"/>
      <c r="AD553" s="12"/>
      <c r="AE553" s="12"/>
      <c r="AF553" s="13">
        <f>H553+I553+J553+K553+M553-N553</f>
        <v>48618</v>
      </c>
      <c r="AG553" s="13">
        <f>SUM(O553:AE553)</f>
        <v>12267</v>
      </c>
      <c r="AH553" s="13">
        <f>AF553-AG553</f>
        <v>36351</v>
      </c>
      <c r="AI553" s="12"/>
      <c r="AJ553" s="12"/>
      <c r="AK553" s="12"/>
    </row>
    <row r="554" spans="1:37">
      <c r="A554" s="10">
        <v>17</v>
      </c>
      <c r="B554" s="11">
        <v>1126</v>
      </c>
      <c r="C554" s="10" t="s">
        <v>582</v>
      </c>
      <c r="D554" s="11" t="s">
        <v>28</v>
      </c>
      <c r="E554" s="11"/>
      <c r="F554" s="10" t="s">
        <v>533</v>
      </c>
      <c r="G554" s="11" t="s">
        <v>62</v>
      </c>
      <c r="H554" s="9"/>
      <c r="I554" s="12"/>
      <c r="J554" s="12">
        <v>150</v>
      </c>
      <c r="K554" s="12">
        <v>2400</v>
      </c>
      <c r="L554" s="12">
        <v>11517</v>
      </c>
      <c r="M554" s="11">
        <f>L554*4+AI554-AJ554</f>
        <v>46068</v>
      </c>
      <c r="N554" s="13"/>
      <c r="O554" s="12"/>
      <c r="P554" s="12"/>
      <c r="Q554" s="12"/>
      <c r="R554" s="12"/>
      <c r="S554" s="12"/>
      <c r="T554" s="12">
        <v>12267</v>
      </c>
      <c r="U554" s="12"/>
      <c r="V554" s="12"/>
      <c r="W554" s="12"/>
      <c r="X554" s="12"/>
      <c r="Y554" s="12"/>
      <c r="Z554" s="12"/>
      <c r="AA554" s="12"/>
      <c r="AB554" s="12"/>
      <c r="AC554" s="12"/>
      <c r="AD554" s="12"/>
      <c r="AE554" s="12"/>
      <c r="AF554" s="13">
        <f>H554+I554+J554+K554+M554-N554</f>
        <v>48618</v>
      </c>
      <c r="AG554" s="13">
        <f>SUM(O554:AE554)</f>
        <v>12267</v>
      </c>
      <c r="AH554" s="13">
        <f>AF554-AG554</f>
        <v>36351</v>
      </c>
      <c r="AI554" s="12"/>
      <c r="AJ554" s="12"/>
      <c r="AK554" s="12"/>
    </row>
    <row r="555" spans="1:37">
      <c r="A555" s="10">
        <v>18</v>
      </c>
      <c r="B555" s="11">
        <v>1187</v>
      </c>
      <c r="C555" s="10" t="s">
        <v>583</v>
      </c>
      <c r="D555" s="11" t="s">
        <v>28</v>
      </c>
      <c r="E555" s="11"/>
      <c r="F555" s="10" t="s">
        <v>533</v>
      </c>
      <c r="G555" s="11" t="s">
        <v>62</v>
      </c>
      <c r="H555" s="9"/>
      <c r="I555" s="12"/>
      <c r="J555" s="12">
        <v>150</v>
      </c>
      <c r="K555" s="12">
        <v>2400</v>
      </c>
      <c r="L555" s="12">
        <v>11517</v>
      </c>
      <c r="M555" s="11">
        <f>L555*4+AI555-AJ555</f>
        <v>46068</v>
      </c>
      <c r="N555" s="13"/>
      <c r="O555" s="12"/>
      <c r="P555" s="12"/>
      <c r="Q555" s="12"/>
      <c r="R555" s="12"/>
      <c r="S555" s="12">
        <v>12267</v>
      </c>
      <c r="T555" s="12"/>
      <c r="U555" s="12"/>
      <c r="V555" s="12">
        <v>12117</v>
      </c>
      <c r="W555" s="12"/>
      <c r="X555" s="12"/>
      <c r="Y555" s="12"/>
      <c r="Z555" s="12"/>
      <c r="AA555" s="12"/>
      <c r="AB555" s="12"/>
      <c r="AC555" s="12"/>
      <c r="AD555" s="12"/>
      <c r="AE555" s="12"/>
      <c r="AF555" s="13">
        <f>H555+I555+J555+K555+M555-N555</f>
        <v>48618</v>
      </c>
      <c r="AG555" s="13">
        <f>SUM(O555:AE555)</f>
        <v>24384</v>
      </c>
      <c r="AH555" s="13">
        <f>AF555-AG555</f>
        <v>24234</v>
      </c>
      <c r="AI555" s="12"/>
      <c r="AJ555" s="12"/>
      <c r="AK555" s="12"/>
    </row>
    <row r="556" spans="1:37">
      <c r="A556" s="10">
        <v>19</v>
      </c>
      <c r="B556" s="10">
        <v>1976</v>
      </c>
      <c r="C556" s="10" t="s">
        <v>584</v>
      </c>
      <c r="D556" s="11" t="s">
        <v>28</v>
      </c>
      <c r="E556" s="10"/>
      <c r="F556" s="10" t="s">
        <v>533</v>
      </c>
      <c r="G556" s="10" t="s">
        <v>62</v>
      </c>
      <c r="H556" s="9"/>
      <c r="I556" s="12"/>
      <c r="J556" s="12">
        <v>150</v>
      </c>
      <c r="K556" s="12">
        <v>2400</v>
      </c>
      <c r="L556" s="12">
        <v>11517</v>
      </c>
      <c r="M556" s="11">
        <f>L556*4+AI556-AJ556</f>
        <v>46068</v>
      </c>
      <c r="N556" s="13"/>
      <c r="O556" s="12"/>
      <c r="P556" s="12"/>
      <c r="Q556" s="12"/>
      <c r="R556" s="12"/>
      <c r="S556" s="12"/>
      <c r="T556" s="12">
        <v>12267</v>
      </c>
      <c r="U556" s="12"/>
      <c r="V556" s="12"/>
      <c r="W556" s="12"/>
      <c r="X556" s="12"/>
      <c r="Y556" s="12"/>
      <c r="Z556" s="12"/>
      <c r="AA556" s="12"/>
      <c r="AB556" s="12"/>
      <c r="AC556" s="12"/>
      <c r="AD556" s="12"/>
      <c r="AE556" s="12"/>
      <c r="AF556" s="13">
        <f>H556+I556+J556+K556+M556-N556</f>
        <v>48618</v>
      </c>
      <c r="AG556" s="13">
        <f>SUM(O556:AE556)</f>
        <v>12267</v>
      </c>
      <c r="AH556" s="13">
        <f>AF556-AG556</f>
        <v>36351</v>
      </c>
      <c r="AI556" s="12"/>
      <c r="AJ556" s="12"/>
      <c r="AK556" s="12"/>
    </row>
    <row r="557" spans="1:37">
      <c r="A557" s="10">
        <v>20</v>
      </c>
      <c r="B557" s="11">
        <v>1523</v>
      </c>
      <c r="C557" s="10" t="s">
        <v>585</v>
      </c>
      <c r="D557" s="11" t="s">
        <v>28</v>
      </c>
      <c r="E557" s="11"/>
      <c r="F557" s="10" t="s">
        <v>533</v>
      </c>
      <c r="G557" s="11" t="s">
        <v>62</v>
      </c>
      <c r="H557" s="12"/>
      <c r="I557" s="12"/>
      <c r="J557" s="12">
        <v>150</v>
      </c>
      <c r="K557" s="12">
        <v>2400</v>
      </c>
      <c r="L557" s="12">
        <v>11517</v>
      </c>
      <c r="M557" s="11">
        <f>L557*4+AI557-AJ557</f>
        <v>46068</v>
      </c>
      <c r="N557" s="13"/>
      <c r="O557" s="12"/>
      <c r="P557" s="12"/>
      <c r="Q557" s="12"/>
      <c r="R557" s="12"/>
      <c r="S557" s="12">
        <v>12267</v>
      </c>
      <c r="T557" s="12"/>
      <c r="U557" s="12"/>
      <c r="V557" s="12">
        <v>12117</v>
      </c>
      <c r="W557" s="12"/>
      <c r="X557" s="12"/>
      <c r="Y557" s="12"/>
      <c r="Z557" s="12"/>
      <c r="AA557" s="12"/>
      <c r="AB557" s="12"/>
      <c r="AC557" s="12"/>
      <c r="AD557" s="12"/>
      <c r="AE557" s="12"/>
      <c r="AF557" s="13">
        <f>H557+I557+J557+K557+M557-N557</f>
        <v>48618</v>
      </c>
      <c r="AG557" s="13">
        <f>SUM(O557:AE557)</f>
        <v>24384</v>
      </c>
      <c r="AH557" s="13">
        <f>AF557-AG557</f>
        <v>24234</v>
      </c>
      <c r="AI557" s="12"/>
      <c r="AJ557" s="12"/>
      <c r="AK557" s="12"/>
    </row>
    <row r="558" spans="1:37">
      <c r="A558" s="10">
        <v>21</v>
      </c>
      <c r="B558" s="11">
        <v>1526</v>
      </c>
      <c r="C558" s="10" t="s">
        <v>586</v>
      </c>
      <c r="D558" s="11" t="s">
        <v>28</v>
      </c>
      <c r="E558" s="11"/>
      <c r="F558" s="10" t="s">
        <v>533</v>
      </c>
      <c r="G558" s="11" t="s">
        <v>62</v>
      </c>
      <c r="H558" s="9"/>
      <c r="I558" s="12"/>
      <c r="J558" s="12">
        <v>150</v>
      </c>
      <c r="K558" s="12">
        <v>2400</v>
      </c>
      <c r="L558" s="12">
        <v>11517</v>
      </c>
      <c r="M558" s="11">
        <f>L558*4+AI558-AJ558</f>
        <v>46068</v>
      </c>
      <c r="N558" s="13">
        <v>2303</v>
      </c>
      <c r="O558" s="12"/>
      <c r="P558" s="12"/>
      <c r="Q558" s="12"/>
      <c r="R558" s="12"/>
      <c r="S558" s="12">
        <v>46315</v>
      </c>
      <c r="T558" s="12"/>
      <c r="U558" s="12"/>
      <c r="V558" s="12"/>
      <c r="W558" s="12"/>
      <c r="X558" s="12"/>
      <c r="Y558" s="12"/>
      <c r="Z558" s="12"/>
      <c r="AA558" s="12"/>
      <c r="AB558" s="12"/>
      <c r="AC558" s="12"/>
      <c r="AD558" s="12"/>
      <c r="AE558" s="12"/>
      <c r="AF558" s="13">
        <f>H558+I558+J558+K558+M558-N558</f>
        <v>46315</v>
      </c>
      <c r="AG558" s="13">
        <f>SUM(O558:AE558)</f>
        <v>46315</v>
      </c>
      <c r="AH558" s="13">
        <f>AF558-AG558</f>
        <v>0</v>
      </c>
      <c r="AI558" s="12"/>
      <c r="AJ558" s="12"/>
      <c r="AK558" s="12"/>
    </row>
    <row r="559" spans="1:37">
      <c r="A559" s="10">
        <v>22</v>
      </c>
      <c r="B559" s="11">
        <v>1092</v>
      </c>
      <c r="C559" s="10" t="s">
        <v>587</v>
      </c>
      <c r="D559" s="11" t="s">
        <v>23</v>
      </c>
      <c r="E559" s="11"/>
      <c r="F559" s="10" t="s">
        <v>533</v>
      </c>
      <c r="G559" s="11" t="s">
        <v>62</v>
      </c>
      <c r="H559" s="9"/>
      <c r="I559" s="12"/>
      <c r="J559" s="12">
        <v>150</v>
      </c>
      <c r="K559" s="12">
        <v>2400</v>
      </c>
      <c r="L559" s="12">
        <v>11517</v>
      </c>
      <c r="M559" s="11">
        <f>L559*4+AI559-AJ559</f>
        <v>46068</v>
      </c>
      <c r="N559" s="13"/>
      <c r="O559" s="12"/>
      <c r="P559" s="12"/>
      <c r="Q559" s="12"/>
      <c r="R559" s="12"/>
      <c r="S559" s="12">
        <v>12267</v>
      </c>
      <c r="T559" s="12"/>
      <c r="U559" s="12"/>
      <c r="V559" s="12"/>
      <c r="W559" s="12"/>
      <c r="X559" s="12"/>
      <c r="Y559" s="12"/>
      <c r="Z559" s="12"/>
      <c r="AA559" s="12"/>
      <c r="AB559" s="12"/>
      <c r="AC559" s="12"/>
      <c r="AD559" s="12"/>
      <c r="AE559" s="12"/>
      <c r="AF559" s="13">
        <f>H559+I559+J559+K559+M559-N559</f>
        <v>48618</v>
      </c>
      <c r="AG559" s="13">
        <f>SUM(O559:AE559)</f>
        <v>12267</v>
      </c>
      <c r="AH559" s="13">
        <f>AF559-AG559</f>
        <v>36351</v>
      </c>
      <c r="AI559" s="12"/>
      <c r="AJ559" s="12"/>
      <c r="AK559" s="12"/>
    </row>
    <row r="560" spans="1:37">
      <c r="A560" s="10">
        <v>23</v>
      </c>
      <c r="B560" s="11">
        <v>1347</v>
      </c>
      <c r="C560" s="10" t="s">
        <v>588</v>
      </c>
      <c r="D560" s="11" t="s">
        <v>28</v>
      </c>
      <c r="E560" s="11"/>
      <c r="F560" s="10" t="s">
        <v>533</v>
      </c>
      <c r="G560" s="11" t="s">
        <v>62</v>
      </c>
      <c r="H560" s="9"/>
      <c r="I560" s="12"/>
      <c r="J560" s="12">
        <v>150</v>
      </c>
      <c r="K560" s="12">
        <v>2400</v>
      </c>
      <c r="L560" s="12">
        <v>11517</v>
      </c>
      <c r="M560" s="11">
        <f>L560*4+AI560-AJ560</f>
        <v>46068</v>
      </c>
      <c r="N560" s="13"/>
      <c r="O560" s="12"/>
      <c r="P560" s="12"/>
      <c r="Q560" s="12"/>
      <c r="R560" s="12"/>
      <c r="S560" s="12">
        <v>12267</v>
      </c>
      <c r="T560" s="12"/>
      <c r="U560" s="12"/>
      <c r="V560" s="12"/>
      <c r="W560" s="12"/>
      <c r="X560" s="12"/>
      <c r="Y560" s="12"/>
      <c r="Z560" s="12"/>
      <c r="AA560" s="12"/>
      <c r="AB560" s="12"/>
      <c r="AC560" s="12"/>
      <c r="AD560" s="12"/>
      <c r="AE560" s="12"/>
      <c r="AF560" s="13">
        <f>H560+I560+J560+K560+M560-N560</f>
        <v>48618</v>
      </c>
      <c r="AG560" s="13">
        <f>SUM(O560:AE560)</f>
        <v>12267</v>
      </c>
      <c r="AH560" s="13">
        <f>AF560-AG560</f>
        <v>36351</v>
      </c>
      <c r="AI560" s="12"/>
      <c r="AJ560" s="12"/>
      <c r="AK560" s="12"/>
    </row>
    <row r="561" spans="1:37">
      <c r="A561" s="10">
        <v>24</v>
      </c>
      <c r="B561" s="11">
        <v>1924</v>
      </c>
      <c r="C561" s="10" t="s">
        <v>589</v>
      </c>
      <c r="D561" s="11" t="s">
        <v>28</v>
      </c>
      <c r="E561" s="11"/>
      <c r="F561" s="10" t="s">
        <v>533</v>
      </c>
      <c r="G561" s="11" t="s">
        <v>62</v>
      </c>
      <c r="H561" s="9"/>
      <c r="I561" s="12"/>
      <c r="J561" s="12">
        <v>150</v>
      </c>
      <c r="K561" s="12">
        <v>2400</v>
      </c>
      <c r="L561" s="12">
        <v>11517</v>
      </c>
      <c r="M561" s="11">
        <f>L561*4+AI561-AJ561</f>
        <v>46068</v>
      </c>
      <c r="N561" s="13"/>
      <c r="O561" s="12"/>
      <c r="P561" s="12"/>
      <c r="Q561" s="12"/>
      <c r="R561" s="12"/>
      <c r="S561" s="12">
        <v>12267</v>
      </c>
      <c r="T561" s="12"/>
      <c r="U561" s="12"/>
      <c r="V561" s="12">
        <v>12117</v>
      </c>
      <c r="W561" s="12"/>
      <c r="X561" s="12"/>
      <c r="Y561" s="12"/>
      <c r="Z561" s="12"/>
      <c r="AA561" s="12"/>
      <c r="AB561" s="12"/>
      <c r="AC561" s="12"/>
      <c r="AD561" s="12"/>
      <c r="AE561" s="12"/>
      <c r="AF561" s="13">
        <f>H561+I561+J561+K561+M561-N561</f>
        <v>48618</v>
      </c>
      <c r="AG561" s="13">
        <f>SUM(O561:AE561)</f>
        <v>24384</v>
      </c>
      <c r="AH561" s="13">
        <f>AF561-AG561</f>
        <v>24234</v>
      </c>
      <c r="AI561" s="12"/>
      <c r="AJ561" s="12"/>
      <c r="AK561" s="12"/>
    </row>
    <row r="562" spans="1:37">
      <c r="A562" s="10">
        <v>25</v>
      </c>
      <c r="B562" s="11">
        <v>1125</v>
      </c>
      <c r="C562" s="10" t="s">
        <v>590</v>
      </c>
      <c r="D562" s="11" t="s">
        <v>28</v>
      </c>
      <c r="E562" s="11"/>
      <c r="F562" s="10" t="s">
        <v>533</v>
      </c>
      <c r="G562" s="11" t="s">
        <v>62</v>
      </c>
      <c r="H562" s="9"/>
      <c r="I562" s="12"/>
      <c r="J562" s="12">
        <v>150</v>
      </c>
      <c r="K562" s="12">
        <v>2400</v>
      </c>
      <c r="L562" s="12">
        <v>11517</v>
      </c>
      <c r="M562" s="11">
        <f>L562*4+AI562-AJ562</f>
        <v>46068</v>
      </c>
      <c r="N562" s="13">
        <v>2303</v>
      </c>
      <c r="O562" s="12"/>
      <c r="P562" s="12"/>
      <c r="Q562" s="12"/>
      <c r="R562" s="12"/>
      <c r="S562" s="12">
        <v>46315</v>
      </c>
      <c r="T562" s="12"/>
      <c r="U562" s="12"/>
      <c r="V562" s="12"/>
      <c r="W562" s="12"/>
      <c r="X562" s="12"/>
      <c r="Y562" s="12"/>
      <c r="Z562" s="12"/>
      <c r="AA562" s="12"/>
      <c r="AB562" s="12"/>
      <c r="AC562" s="12"/>
      <c r="AD562" s="12"/>
      <c r="AE562" s="12"/>
      <c r="AF562" s="13">
        <f>H562+I562+J562+K562+M562-N562</f>
        <v>46315</v>
      </c>
      <c r="AG562" s="13">
        <f>SUM(O562:AE562)</f>
        <v>46315</v>
      </c>
      <c r="AH562" s="13">
        <f>AF562-AG562</f>
        <v>0</v>
      </c>
      <c r="AI562" s="12"/>
      <c r="AJ562" s="12"/>
      <c r="AK562" s="12"/>
    </row>
    <row r="563" spans="1:37">
      <c r="A563" s="10">
        <v>26</v>
      </c>
      <c r="B563" s="11">
        <v>1532</v>
      </c>
      <c r="C563" s="10" t="s">
        <v>591</v>
      </c>
      <c r="D563" s="11" t="s">
        <v>28</v>
      </c>
      <c r="E563" s="11"/>
      <c r="F563" s="10" t="s">
        <v>533</v>
      </c>
      <c r="G563" s="11" t="s">
        <v>62</v>
      </c>
      <c r="H563" s="9"/>
      <c r="I563" s="12"/>
      <c r="J563" s="12">
        <v>150</v>
      </c>
      <c r="K563" s="12">
        <v>2400</v>
      </c>
      <c r="L563" s="12">
        <v>11517</v>
      </c>
      <c r="M563" s="11">
        <f>L563*4+AI563-AJ563</f>
        <v>46068</v>
      </c>
      <c r="N563" s="13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  <c r="AA563" s="12"/>
      <c r="AB563" s="12"/>
      <c r="AC563" s="12"/>
      <c r="AD563" s="12"/>
      <c r="AE563" s="12"/>
      <c r="AF563" s="13">
        <f>H563+I563+J563+K563+M563-N563</f>
        <v>48618</v>
      </c>
      <c r="AG563" s="13">
        <f>SUM(O563:AE563)</f>
        <v>0</v>
      </c>
      <c r="AH563" s="13">
        <f>AF563-AG563</f>
        <v>48618</v>
      </c>
      <c r="AI563" s="12"/>
      <c r="AJ563" s="12"/>
      <c r="AK563" s="12"/>
    </row>
    <row r="564" spans="1:37">
      <c r="A564" s="10">
        <v>27</v>
      </c>
      <c r="B564" s="11">
        <v>1185</v>
      </c>
      <c r="C564" s="10" t="s">
        <v>592</v>
      </c>
      <c r="D564" s="11" t="s">
        <v>23</v>
      </c>
      <c r="E564" s="11"/>
      <c r="F564" s="10" t="s">
        <v>533</v>
      </c>
      <c r="G564" s="11" t="s">
        <v>62</v>
      </c>
      <c r="H564" s="9"/>
      <c r="I564" s="12"/>
      <c r="J564" s="12">
        <v>150</v>
      </c>
      <c r="K564" s="12">
        <v>2400</v>
      </c>
      <c r="L564" s="12">
        <v>11517</v>
      </c>
      <c r="M564" s="11">
        <f>L564*4+AI564-AJ564</f>
        <v>46068</v>
      </c>
      <c r="N564" s="13">
        <v>2303</v>
      </c>
      <c r="O564" s="12"/>
      <c r="P564" s="12"/>
      <c r="Q564" s="12"/>
      <c r="R564" s="12"/>
      <c r="S564" s="12">
        <v>46315</v>
      </c>
      <c r="T564" s="12"/>
      <c r="U564" s="12"/>
      <c r="V564" s="12"/>
      <c r="W564" s="12"/>
      <c r="X564" s="12"/>
      <c r="Y564" s="12"/>
      <c r="Z564" s="12"/>
      <c r="AA564" s="12"/>
      <c r="AB564" s="12"/>
      <c r="AC564" s="12"/>
      <c r="AD564" s="12"/>
      <c r="AE564" s="12"/>
      <c r="AF564" s="13">
        <f>H564+I564+J564+K564+M564-N564</f>
        <v>46315</v>
      </c>
      <c r="AG564" s="13">
        <f>SUM(O564:AE564)</f>
        <v>46315</v>
      </c>
      <c r="AH564" s="13">
        <f>AF564-AG564</f>
        <v>0</v>
      </c>
      <c r="AI564" s="12"/>
      <c r="AJ564" s="12"/>
      <c r="AK564" s="12"/>
    </row>
    <row r="565" spans="1:37">
      <c r="A565" s="10">
        <v>28</v>
      </c>
      <c r="B565" s="11">
        <v>1094</v>
      </c>
      <c r="C565" s="10" t="s">
        <v>593</v>
      </c>
      <c r="D565" s="11" t="s">
        <v>23</v>
      </c>
      <c r="E565" s="11"/>
      <c r="F565" s="10" t="s">
        <v>533</v>
      </c>
      <c r="G565" s="11" t="s">
        <v>62</v>
      </c>
      <c r="H565" s="9"/>
      <c r="I565" s="12"/>
      <c r="J565" s="12">
        <v>150</v>
      </c>
      <c r="K565" s="12">
        <v>2400</v>
      </c>
      <c r="L565" s="12">
        <v>11517</v>
      </c>
      <c r="M565" s="11">
        <f>L565*4+AI565-AJ565</f>
        <v>46068</v>
      </c>
      <c r="N565" s="13"/>
      <c r="O565" s="12"/>
      <c r="P565" s="12"/>
      <c r="Q565" s="12"/>
      <c r="R565" s="12"/>
      <c r="S565" s="12"/>
      <c r="T565" s="12">
        <v>12267</v>
      </c>
      <c r="U565" s="12"/>
      <c r="V565" s="12"/>
      <c r="W565" s="12"/>
      <c r="X565" s="12"/>
      <c r="Y565" s="12"/>
      <c r="Z565" s="12"/>
      <c r="AA565" s="12"/>
      <c r="AB565" s="12"/>
      <c r="AC565" s="12"/>
      <c r="AD565" s="12"/>
      <c r="AE565" s="12"/>
      <c r="AF565" s="13">
        <f>H565+I565+J565+K565+M565-N565</f>
        <v>48618</v>
      </c>
      <c r="AG565" s="13">
        <f>SUM(O565:AE565)</f>
        <v>12267</v>
      </c>
      <c r="AH565" s="13">
        <f>AF565-AG565</f>
        <v>36351</v>
      </c>
      <c r="AI565" s="12"/>
      <c r="AJ565" s="12"/>
      <c r="AK565" s="12"/>
    </row>
    <row r="566" spans="1:37">
      <c r="A566" s="10">
        <v>29</v>
      </c>
      <c r="B566" s="11">
        <v>1909</v>
      </c>
      <c r="C566" s="10" t="s">
        <v>594</v>
      </c>
      <c r="D566" s="11" t="s">
        <v>23</v>
      </c>
      <c r="E566" s="11"/>
      <c r="F566" s="10" t="s">
        <v>533</v>
      </c>
      <c r="G566" s="11" t="s">
        <v>62</v>
      </c>
      <c r="H566" s="9"/>
      <c r="I566" s="12"/>
      <c r="J566" s="12">
        <v>150</v>
      </c>
      <c r="K566" s="12">
        <v>2400</v>
      </c>
      <c r="L566" s="12">
        <v>11517</v>
      </c>
      <c r="M566" s="11">
        <f>L566*4+AI566-AJ566</f>
        <v>46068</v>
      </c>
      <c r="N566" s="13"/>
      <c r="O566" s="12"/>
      <c r="P566" s="12"/>
      <c r="Q566" s="12"/>
      <c r="R566" s="12"/>
      <c r="S566" s="12"/>
      <c r="T566" s="12"/>
      <c r="U566" s="12"/>
      <c r="V566" s="12">
        <v>12267</v>
      </c>
      <c r="W566" s="12"/>
      <c r="X566" s="12"/>
      <c r="Y566" s="12"/>
      <c r="Z566" s="12"/>
      <c r="AA566" s="12"/>
      <c r="AB566" s="12"/>
      <c r="AC566" s="12"/>
      <c r="AD566" s="12"/>
      <c r="AE566" s="12"/>
      <c r="AF566" s="13">
        <f>H566+I566+J566+K566+M566-N566</f>
        <v>48618</v>
      </c>
      <c r="AG566" s="13">
        <f>SUM(O566:AE566)</f>
        <v>12267</v>
      </c>
      <c r="AH566" s="13">
        <f>AF566-AG566</f>
        <v>36351</v>
      </c>
      <c r="AI566" s="12"/>
      <c r="AJ566" s="12"/>
      <c r="AK566" s="12"/>
    </row>
    <row r="567" spans="1:37">
      <c r="A567" s="10">
        <v>30</v>
      </c>
      <c r="B567" s="11">
        <v>1903</v>
      </c>
      <c r="C567" s="10" t="s">
        <v>595</v>
      </c>
      <c r="D567" s="11" t="s">
        <v>28</v>
      </c>
      <c r="E567" s="11"/>
      <c r="F567" s="10" t="s">
        <v>533</v>
      </c>
      <c r="G567" s="11" t="s">
        <v>62</v>
      </c>
      <c r="H567" s="9"/>
      <c r="I567" s="12"/>
      <c r="J567" s="12">
        <v>150</v>
      </c>
      <c r="K567" s="12">
        <v>2400</v>
      </c>
      <c r="L567" s="12">
        <v>11517</v>
      </c>
      <c r="M567" s="11">
        <f>L567*4+AI567-AJ567</f>
        <v>46068</v>
      </c>
      <c r="N567" s="13">
        <v>2303</v>
      </c>
      <c r="O567" s="12"/>
      <c r="P567" s="12"/>
      <c r="Q567" s="12"/>
      <c r="R567" s="12"/>
      <c r="S567" s="12">
        <v>46315</v>
      </c>
      <c r="T567" s="12"/>
      <c r="U567" s="12"/>
      <c r="V567" s="12"/>
      <c r="W567" s="12"/>
      <c r="X567" s="12"/>
      <c r="Y567" s="12"/>
      <c r="Z567" s="12"/>
      <c r="AA567" s="12"/>
      <c r="AB567" s="12"/>
      <c r="AC567" s="12"/>
      <c r="AD567" s="12"/>
      <c r="AE567" s="12"/>
      <c r="AF567" s="13">
        <f>H567+I567+J567+K567+M567-N567</f>
        <v>46315</v>
      </c>
      <c r="AG567" s="13">
        <f>SUM(O567:AE567)</f>
        <v>46315</v>
      </c>
      <c r="AH567" s="13">
        <f>AF567-AG567</f>
        <v>0</v>
      </c>
      <c r="AI567" s="12"/>
      <c r="AJ567" s="12"/>
      <c r="AK567" s="12"/>
    </row>
    <row r="568" spans="1:37">
      <c r="A568" s="10">
        <v>31</v>
      </c>
      <c r="B568" s="11">
        <v>1471</v>
      </c>
      <c r="C568" s="10" t="s">
        <v>596</v>
      </c>
      <c r="D568" s="11" t="s">
        <v>28</v>
      </c>
      <c r="E568" s="11"/>
      <c r="F568" s="10" t="s">
        <v>533</v>
      </c>
      <c r="G568" s="11" t="s">
        <v>62</v>
      </c>
      <c r="H568" s="9"/>
      <c r="I568" s="12"/>
      <c r="J568" s="12">
        <v>150</v>
      </c>
      <c r="K568" s="12">
        <v>2400</v>
      </c>
      <c r="L568" s="12">
        <v>11517</v>
      </c>
      <c r="M568" s="11">
        <f>L568*4+AI568-AJ568</f>
        <v>46068</v>
      </c>
      <c r="N568" s="13"/>
      <c r="O568" s="12"/>
      <c r="P568" s="12"/>
      <c r="Q568" s="12"/>
      <c r="R568" s="12"/>
      <c r="S568" s="12"/>
      <c r="T568" s="12"/>
      <c r="U568" s="12">
        <v>12991</v>
      </c>
      <c r="V568" s="12"/>
      <c r="W568" s="12"/>
      <c r="X568" s="12"/>
      <c r="Y568" s="12"/>
      <c r="Z568" s="12"/>
      <c r="AA568" s="12"/>
      <c r="AB568" s="12"/>
      <c r="AC568" s="12"/>
      <c r="AD568" s="12"/>
      <c r="AE568" s="12"/>
      <c r="AF568" s="13">
        <f>H568+I568+J568+K568+M568-N568</f>
        <v>48618</v>
      </c>
      <c r="AG568" s="13">
        <f>SUM(O568:AE568)</f>
        <v>12991</v>
      </c>
      <c r="AH568" s="13">
        <f>AF568-AG568</f>
        <v>35627</v>
      </c>
      <c r="AI568" s="12"/>
      <c r="AJ568" s="12"/>
      <c r="AK568" s="12"/>
    </row>
    <row r="569" spans="1:37">
      <c r="A569" s="10">
        <v>32</v>
      </c>
      <c r="B569" s="11">
        <v>1145</v>
      </c>
      <c r="C569" s="10" t="s">
        <v>597</v>
      </c>
      <c r="D569" s="11" t="s">
        <v>23</v>
      </c>
      <c r="E569" s="11"/>
      <c r="F569" s="10" t="s">
        <v>533</v>
      </c>
      <c r="G569" s="11" t="s">
        <v>62</v>
      </c>
      <c r="H569" s="9"/>
      <c r="I569" s="12"/>
      <c r="J569" s="12">
        <v>150</v>
      </c>
      <c r="K569" s="12">
        <v>2400</v>
      </c>
      <c r="L569" s="12">
        <v>11517</v>
      </c>
      <c r="M569" s="11">
        <f>L569*4+AI569-AJ569</f>
        <v>46068</v>
      </c>
      <c r="N569" s="13"/>
      <c r="O569" s="12"/>
      <c r="P569" s="12"/>
      <c r="Q569" s="12"/>
      <c r="R569" s="12"/>
      <c r="S569" s="12">
        <v>12267</v>
      </c>
      <c r="T569" s="12"/>
      <c r="U569" s="12"/>
      <c r="V569" s="12"/>
      <c r="W569" s="12"/>
      <c r="X569" s="12"/>
      <c r="Y569" s="12"/>
      <c r="Z569" s="12"/>
      <c r="AA569" s="12"/>
      <c r="AB569" s="12"/>
      <c r="AC569" s="12"/>
      <c r="AD569" s="12"/>
      <c r="AE569" s="12"/>
      <c r="AF569" s="13">
        <f>H569+I569+J569+K569+M569-N569</f>
        <v>48618</v>
      </c>
      <c r="AG569" s="13">
        <f>SUM(O569:AE569)</f>
        <v>12267</v>
      </c>
      <c r="AH569" s="13">
        <f>AF569-AG569</f>
        <v>36351</v>
      </c>
      <c r="AI569" s="12"/>
      <c r="AJ569" s="12"/>
      <c r="AK569" s="12"/>
    </row>
    <row r="570" spans="1:37">
      <c r="A570" s="10">
        <v>1</v>
      </c>
      <c r="B570" s="11">
        <v>1117</v>
      </c>
      <c r="C570" s="10" t="s">
        <v>598</v>
      </c>
      <c r="D570" s="11" t="s">
        <v>28</v>
      </c>
      <c r="E570" s="11"/>
      <c r="F570" s="10" t="s">
        <v>599</v>
      </c>
      <c r="G570" s="11" t="s">
        <v>26</v>
      </c>
      <c r="H570" s="9"/>
      <c r="I570" s="12"/>
      <c r="J570" s="12">
        <v>150</v>
      </c>
      <c r="K570" s="12">
        <v>2400</v>
      </c>
      <c r="L570" s="12">
        <v>12241</v>
      </c>
      <c r="M570" s="11">
        <f>L570*4+AI570-AJ570</f>
        <v>48964</v>
      </c>
      <c r="N570" s="13"/>
      <c r="O570" s="12"/>
      <c r="P570" s="12"/>
      <c r="Q570" s="12"/>
      <c r="R570" s="12"/>
      <c r="S570" s="12"/>
      <c r="T570" s="12"/>
      <c r="U570" s="12"/>
      <c r="V570" s="12">
        <v>12841</v>
      </c>
      <c r="W570" s="12"/>
      <c r="X570" s="12"/>
      <c r="Y570" s="12"/>
      <c r="Z570" s="12"/>
      <c r="AA570" s="12"/>
      <c r="AB570" s="12"/>
      <c r="AC570" s="12"/>
      <c r="AD570" s="12"/>
      <c r="AE570" s="12"/>
      <c r="AF570" s="13">
        <f>H570+I570+J570+K570+M570-N570</f>
        <v>51514</v>
      </c>
      <c r="AG570" s="13">
        <f>SUM(O570:AE570)</f>
        <v>12841</v>
      </c>
      <c r="AH570" s="13">
        <f>AF570-AG570</f>
        <v>38673</v>
      </c>
      <c r="AI570" s="12"/>
      <c r="AJ570" s="12"/>
      <c r="AK570" s="12"/>
    </row>
    <row r="571" spans="1:37">
      <c r="A571" s="10">
        <v>2</v>
      </c>
      <c r="B571" s="23">
        <v>2096</v>
      </c>
      <c r="C571" s="23" t="s">
        <v>600</v>
      </c>
      <c r="D571" s="23" t="s">
        <v>28</v>
      </c>
      <c r="E571" s="23"/>
      <c r="F571" s="26" t="s">
        <v>599</v>
      </c>
      <c r="G571" s="24" t="s">
        <v>62</v>
      </c>
      <c r="H571" s="9"/>
      <c r="I571" s="12"/>
      <c r="J571" s="12">
        <v>150</v>
      </c>
      <c r="K571" s="12">
        <v>2400</v>
      </c>
      <c r="L571" s="12">
        <v>6121</v>
      </c>
      <c r="M571" s="11">
        <f>L571*4+AI571-AJ571</f>
        <v>24484</v>
      </c>
      <c r="N571" s="13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  <c r="AA571" s="12"/>
      <c r="AB571" s="12"/>
      <c r="AC571" s="12"/>
      <c r="AD571" s="12"/>
      <c r="AE571" s="12"/>
      <c r="AF571" s="13">
        <f>H571+I571+J571+K571+M571-N571</f>
        <v>27034</v>
      </c>
      <c r="AG571" s="13">
        <f>SUM(O571:AE571)</f>
        <v>0</v>
      </c>
      <c r="AH571" s="13">
        <f>AF571-AG571</f>
        <v>27034</v>
      </c>
      <c r="AI571" s="12"/>
      <c r="AJ571" s="12"/>
      <c r="AK571" s="12"/>
    </row>
    <row r="572" spans="1:37">
      <c r="A572" s="10">
        <v>3</v>
      </c>
      <c r="B572" s="11">
        <v>1019</v>
      </c>
      <c r="C572" s="10" t="s">
        <v>601</v>
      </c>
      <c r="D572" s="11" t="s">
        <v>23</v>
      </c>
      <c r="E572" s="11"/>
      <c r="F572" s="10" t="s">
        <v>599</v>
      </c>
      <c r="G572" s="11" t="s">
        <v>26</v>
      </c>
      <c r="H572" s="9"/>
      <c r="I572" s="12"/>
      <c r="J572" s="12">
        <v>150</v>
      </c>
      <c r="K572" s="12">
        <v>2400</v>
      </c>
      <c r="L572" s="12">
        <v>12241</v>
      </c>
      <c r="M572" s="11">
        <f>L572*4+AI572-AJ572</f>
        <v>48964</v>
      </c>
      <c r="N572" s="13"/>
      <c r="O572" s="12"/>
      <c r="P572" s="12"/>
      <c r="Q572" s="12"/>
      <c r="R572" s="12"/>
      <c r="S572" s="12"/>
      <c r="T572" s="12">
        <v>12991</v>
      </c>
      <c r="U572" s="12"/>
      <c r="V572" s="12">
        <v>12841</v>
      </c>
      <c r="W572" s="12"/>
      <c r="X572" s="12"/>
      <c r="Y572" s="12"/>
      <c r="Z572" s="12"/>
      <c r="AA572" s="12"/>
      <c r="AB572" s="12"/>
      <c r="AC572" s="12"/>
      <c r="AD572" s="12"/>
      <c r="AE572" s="12"/>
      <c r="AF572" s="13">
        <f>H572+I572+J572+K572+M572-N572</f>
        <v>51514</v>
      </c>
      <c r="AG572" s="13">
        <f>SUM(O572:AE572)</f>
        <v>25832</v>
      </c>
      <c r="AH572" s="13">
        <f>AF572-AG572</f>
        <v>25682</v>
      </c>
      <c r="AI572" s="12"/>
      <c r="AJ572" s="12"/>
      <c r="AK572" s="12"/>
    </row>
    <row r="573" spans="1:37">
      <c r="A573" s="10">
        <v>4</v>
      </c>
      <c r="B573" s="22">
        <v>1643</v>
      </c>
      <c r="C573" s="21" t="s">
        <v>602</v>
      </c>
      <c r="D573" s="22" t="s">
        <v>23</v>
      </c>
      <c r="E573" s="22" t="s">
        <v>24</v>
      </c>
      <c r="F573" s="21" t="s">
        <v>599</v>
      </c>
      <c r="G573" s="22" t="s">
        <v>26</v>
      </c>
      <c r="H573" s="9">
        <v>5000</v>
      </c>
      <c r="I573" s="12">
        <v>1200</v>
      </c>
      <c r="J573" s="12">
        <v>150</v>
      </c>
      <c r="K573" s="12">
        <v>2400</v>
      </c>
      <c r="L573" s="12">
        <v>12241</v>
      </c>
      <c r="M573" s="11">
        <f>L573*4+AI573-AJ573</f>
        <v>48964</v>
      </c>
      <c r="N573" s="13"/>
      <c r="O573" s="12">
        <v>5000</v>
      </c>
      <c r="P573" s="12">
        <v>1200</v>
      </c>
      <c r="Q573" s="12"/>
      <c r="R573" s="12"/>
      <c r="S573" s="11">
        <f>12241+150+600</f>
        <v>12991</v>
      </c>
      <c r="T573" s="12"/>
      <c r="U573" s="12"/>
      <c r="V573" s="12"/>
      <c r="W573" s="12"/>
      <c r="X573" s="12"/>
      <c r="Y573" s="12"/>
      <c r="Z573" s="12"/>
      <c r="AA573" s="12"/>
      <c r="AB573" s="12"/>
      <c r="AC573" s="12"/>
      <c r="AD573" s="12"/>
      <c r="AE573" s="12"/>
      <c r="AF573" s="13">
        <f>H573+I573+J573+K573+M573-N573</f>
        <v>57714</v>
      </c>
      <c r="AG573" s="13">
        <f>SUM(O573:AE573)</f>
        <v>19191</v>
      </c>
      <c r="AH573" s="13">
        <f>AF573-AG573</f>
        <v>38523</v>
      </c>
      <c r="AI573" s="12"/>
      <c r="AJ573" s="12"/>
      <c r="AK573" s="12"/>
    </row>
    <row r="574" spans="1:37">
      <c r="A574" s="10">
        <v>5</v>
      </c>
      <c r="B574" s="11">
        <v>1112</v>
      </c>
      <c r="C574" s="10" t="s">
        <v>603</v>
      </c>
      <c r="D574" s="11" t="s">
        <v>28</v>
      </c>
      <c r="E574" s="11"/>
      <c r="F574" s="10" t="s">
        <v>599</v>
      </c>
      <c r="G574" s="11" t="s">
        <v>26</v>
      </c>
      <c r="H574" s="9"/>
      <c r="I574" s="12"/>
      <c r="J574" s="12">
        <v>150</v>
      </c>
      <c r="K574" s="12">
        <v>2400</v>
      </c>
      <c r="L574" s="12">
        <v>12241</v>
      </c>
      <c r="M574" s="11">
        <f>L574*4+AI574-AJ574</f>
        <v>48964</v>
      </c>
      <c r="N574" s="13"/>
      <c r="O574" s="12"/>
      <c r="P574" s="12"/>
      <c r="Q574" s="12"/>
      <c r="R574" s="12"/>
      <c r="S574" s="12"/>
      <c r="T574" s="12"/>
      <c r="U574" s="12">
        <v>12991</v>
      </c>
      <c r="V574" s="12"/>
      <c r="W574" s="12"/>
      <c r="X574" s="12"/>
      <c r="Y574" s="12"/>
      <c r="Z574" s="12"/>
      <c r="AA574" s="12"/>
      <c r="AB574" s="12"/>
      <c r="AC574" s="12"/>
      <c r="AD574" s="12"/>
      <c r="AE574" s="12"/>
      <c r="AF574" s="13">
        <f>H574+I574+J574+K574+M574-N574</f>
        <v>51514</v>
      </c>
      <c r="AG574" s="13">
        <f>SUM(O574:AE574)</f>
        <v>12991</v>
      </c>
      <c r="AH574" s="13">
        <f>AF574-AG574</f>
        <v>38523</v>
      </c>
      <c r="AI574" s="12"/>
      <c r="AJ574" s="12"/>
      <c r="AK574" s="12"/>
    </row>
    <row r="575" spans="1:37">
      <c r="A575" s="10">
        <v>6</v>
      </c>
      <c r="B575" s="11">
        <v>1437</v>
      </c>
      <c r="C575" s="10" t="s">
        <v>604</v>
      </c>
      <c r="D575" s="11" t="s">
        <v>23</v>
      </c>
      <c r="E575" s="11"/>
      <c r="F575" s="10" t="s">
        <v>599</v>
      </c>
      <c r="G575" s="11" t="s">
        <v>26</v>
      </c>
      <c r="H575" s="9"/>
      <c r="I575" s="12"/>
      <c r="J575" s="12">
        <v>150</v>
      </c>
      <c r="K575" s="12">
        <v>2400</v>
      </c>
      <c r="L575" s="12">
        <v>12241</v>
      </c>
      <c r="M575" s="11">
        <f>L575*4+AI575-AJ575</f>
        <v>48964</v>
      </c>
      <c r="N575" s="13">
        <v>2448</v>
      </c>
      <c r="O575" s="12"/>
      <c r="P575" s="12"/>
      <c r="Q575" s="12"/>
      <c r="R575" s="12"/>
      <c r="S575" s="12">
        <v>49066</v>
      </c>
      <c r="T575" s="12"/>
      <c r="U575" s="12"/>
      <c r="V575" s="12"/>
      <c r="W575" s="12"/>
      <c r="X575" s="12"/>
      <c r="Y575" s="12"/>
      <c r="Z575" s="12"/>
      <c r="AA575" s="12"/>
      <c r="AB575" s="12"/>
      <c r="AC575" s="12"/>
      <c r="AD575" s="12"/>
      <c r="AE575" s="12"/>
      <c r="AF575" s="13">
        <f>H575+I575+J575+K575+M575-N575</f>
        <v>49066</v>
      </c>
      <c r="AG575" s="13">
        <f>SUM(O575:AE575)</f>
        <v>49066</v>
      </c>
      <c r="AH575" s="13">
        <f>AF575-AG575</f>
        <v>0</v>
      </c>
      <c r="AI575" s="12"/>
      <c r="AJ575" s="12"/>
      <c r="AK575" s="12"/>
    </row>
    <row r="576" spans="1:37">
      <c r="A576" s="10">
        <v>7</v>
      </c>
      <c r="B576" s="11">
        <v>1153</v>
      </c>
      <c r="C576" s="10" t="s">
        <v>605</v>
      </c>
      <c r="D576" s="11" t="s">
        <v>28</v>
      </c>
      <c r="E576" s="11"/>
      <c r="F576" s="10" t="s">
        <v>599</v>
      </c>
      <c r="G576" s="11" t="s">
        <v>26</v>
      </c>
      <c r="H576" s="9"/>
      <c r="I576" s="12"/>
      <c r="J576" s="12">
        <v>150</v>
      </c>
      <c r="K576" s="12">
        <v>2400</v>
      </c>
      <c r="L576" s="12">
        <v>12241</v>
      </c>
      <c r="M576" s="11">
        <f>L576*4+AI576-AJ576</f>
        <v>49282</v>
      </c>
      <c r="N576" s="13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  <c r="AA576" s="12"/>
      <c r="AB576" s="12"/>
      <c r="AC576" s="12"/>
      <c r="AD576" s="12"/>
      <c r="AE576" s="12"/>
      <c r="AF576" s="13">
        <f>H576+I576+J576+K576+M576-N576</f>
        <v>51832</v>
      </c>
      <c r="AG576" s="13">
        <f>SUM(O576:AE576)</f>
        <v>0</v>
      </c>
      <c r="AH576" s="13">
        <f>AF576-AG576</f>
        <v>51832</v>
      </c>
      <c r="AI576" s="12">
        <v>318</v>
      </c>
      <c r="AJ576" s="12"/>
      <c r="AK576" s="12"/>
    </row>
    <row r="577" spans="1:37">
      <c r="A577" s="10">
        <v>8</v>
      </c>
      <c r="B577" s="16">
        <v>2107</v>
      </c>
      <c r="C577" s="16" t="s">
        <v>606</v>
      </c>
      <c r="D577" s="16" t="s">
        <v>28</v>
      </c>
      <c r="E577" s="16"/>
      <c r="F577" s="10" t="s">
        <v>599</v>
      </c>
      <c r="G577" s="12" t="s">
        <v>26</v>
      </c>
      <c r="H577" s="9"/>
      <c r="I577" s="12"/>
      <c r="J577" s="12">
        <v>150</v>
      </c>
      <c r="K577" s="12">
        <v>2400</v>
      </c>
      <c r="L577" s="12">
        <v>12241</v>
      </c>
      <c r="M577" s="11">
        <f>L577*4+AI577-AJ577</f>
        <v>48964</v>
      </c>
      <c r="N577" s="13"/>
      <c r="O577" s="12"/>
      <c r="P577" s="12"/>
      <c r="Q577" s="12"/>
      <c r="R577" s="12"/>
      <c r="S577" s="12">
        <v>12999</v>
      </c>
      <c r="T577" s="12"/>
      <c r="U577" s="12"/>
      <c r="V577" s="12"/>
      <c r="W577" s="12"/>
      <c r="X577" s="12"/>
      <c r="Y577" s="12"/>
      <c r="Z577" s="12"/>
      <c r="AA577" s="12"/>
      <c r="AB577" s="12"/>
      <c r="AC577" s="12"/>
      <c r="AD577" s="12"/>
      <c r="AE577" s="12"/>
      <c r="AF577" s="13">
        <f>H577+I577+J577+K577+M577-N577</f>
        <v>51514</v>
      </c>
      <c r="AG577" s="13">
        <f>SUM(O577:AE577)</f>
        <v>12999</v>
      </c>
      <c r="AH577" s="13">
        <f>AF577-AG577</f>
        <v>38515</v>
      </c>
      <c r="AI577" s="12"/>
      <c r="AJ577" s="12"/>
      <c r="AK577" s="12"/>
    </row>
    <row r="578" spans="1:37">
      <c r="A578" s="10">
        <v>9</v>
      </c>
      <c r="B578" s="11">
        <v>1901</v>
      </c>
      <c r="C578" s="10" t="s">
        <v>607</v>
      </c>
      <c r="D578" s="11" t="s">
        <v>28</v>
      </c>
      <c r="E578" s="11"/>
      <c r="F578" s="10" t="s">
        <v>599</v>
      </c>
      <c r="G578" s="11" t="s">
        <v>26</v>
      </c>
      <c r="H578" s="9"/>
      <c r="I578" s="12"/>
      <c r="J578" s="12">
        <v>150</v>
      </c>
      <c r="K578" s="12">
        <v>2400</v>
      </c>
      <c r="L578" s="12">
        <v>12241</v>
      </c>
      <c r="M578" s="11">
        <f>L578*4+AI578-AJ578</f>
        <v>48964</v>
      </c>
      <c r="N578" s="13"/>
      <c r="O578" s="12"/>
      <c r="P578" s="12"/>
      <c r="Q578" s="12"/>
      <c r="R578" s="12"/>
      <c r="S578" s="12">
        <v>12991</v>
      </c>
      <c r="T578" s="12"/>
      <c r="U578" s="12"/>
      <c r="V578" s="12">
        <v>12841</v>
      </c>
      <c r="W578" s="12"/>
      <c r="X578" s="12"/>
      <c r="Y578" s="12"/>
      <c r="Z578" s="12"/>
      <c r="AA578" s="12"/>
      <c r="AB578" s="12"/>
      <c r="AC578" s="12"/>
      <c r="AD578" s="12"/>
      <c r="AE578" s="12"/>
      <c r="AF578" s="13">
        <f>H578+I578+J578+K578+M578-N578</f>
        <v>51514</v>
      </c>
      <c r="AG578" s="13">
        <f>SUM(O578:AE578)</f>
        <v>25832</v>
      </c>
      <c r="AH578" s="13">
        <f>AF578-AG578</f>
        <v>25682</v>
      </c>
      <c r="AI578" s="12"/>
      <c r="AJ578" s="12"/>
      <c r="AK578" s="12"/>
    </row>
    <row r="579" spans="1:37">
      <c r="A579" s="10">
        <v>10</v>
      </c>
      <c r="B579" s="11">
        <v>1098</v>
      </c>
      <c r="C579" s="10" t="s">
        <v>608</v>
      </c>
      <c r="D579" s="11" t="s">
        <v>23</v>
      </c>
      <c r="E579" s="11"/>
      <c r="F579" s="10" t="s">
        <v>599</v>
      </c>
      <c r="G579" s="11" t="s">
        <v>26</v>
      </c>
      <c r="H579" s="9"/>
      <c r="I579" s="12"/>
      <c r="J579" s="12">
        <v>150</v>
      </c>
      <c r="K579" s="12">
        <v>2400</v>
      </c>
      <c r="L579" s="12">
        <v>12241</v>
      </c>
      <c r="M579" s="11">
        <f>L579*4+AI579-AJ579</f>
        <v>48964</v>
      </c>
      <c r="N579" s="13"/>
      <c r="O579" s="12"/>
      <c r="P579" s="12"/>
      <c r="Q579" s="12"/>
      <c r="R579" s="12"/>
      <c r="S579" s="12"/>
      <c r="T579" s="12">
        <v>12991</v>
      </c>
      <c r="U579" s="12"/>
      <c r="V579" s="12"/>
      <c r="W579" s="12"/>
      <c r="X579" s="12"/>
      <c r="Y579" s="12"/>
      <c r="Z579" s="12"/>
      <c r="AA579" s="12"/>
      <c r="AB579" s="12"/>
      <c r="AC579" s="12"/>
      <c r="AD579" s="12"/>
      <c r="AE579" s="12"/>
      <c r="AF579" s="13">
        <f>H579+I579+J579+K579+M579-N579</f>
        <v>51514</v>
      </c>
      <c r="AG579" s="13">
        <f>SUM(O579:AE579)</f>
        <v>12991</v>
      </c>
      <c r="AH579" s="13">
        <f>AF579-AG579</f>
        <v>38523</v>
      </c>
      <c r="AI579" s="12"/>
      <c r="AJ579" s="12"/>
      <c r="AK579" s="12"/>
    </row>
    <row r="580" spans="1:37" customHeight="1" ht="25.5">
      <c r="A580" s="10">
        <v>11</v>
      </c>
      <c r="B580" s="27">
        <v>1308</v>
      </c>
      <c r="C580" s="26" t="s">
        <v>609</v>
      </c>
      <c r="D580" s="27" t="s">
        <v>28</v>
      </c>
      <c r="E580" s="27"/>
      <c r="F580" s="26" t="s">
        <v>599</v>
      </c>
      <c r="G580" s="27" t="s">
        <v>26</v>
      </c>
      <c r="H580" s="9"/>
      <c r="I580" s="12"/>
      <c r="J580" s="12">
        <v>150</v>
      </c>
      <c r="K580" s="12">
        <v>2400</v>
      </c>
      <c r="L580" s="12">
        <v>6121</v>
      </c>
      <c r="M580" s="11">
        <f>L580*4+AI580-AJ580</f>
        <v>24034</v>
      </c>
      <c r="N580" s="13"/>
      <c r="O580" s="12"/>
      <c r="P580" s="12"/>
      <c r="Q580" s="12"/>
      <c r="R580" s="12"/>
      <c r="S580" s="12"/>
      <c r="T580" s="12">
        <v>6421</v>
      </c>
      <c r="U580" s="12"/>
      <c r="V580" s="12"/>
      <c r="W580" s="12"/>
      <c r="X580" s="12"/>
      <c r="Y580" s="12"/>
      <c r="Z580" s="12"/>
      <c r="AA580" s="12"/>
      <c r="AB580" s="12"/>
      <c r="AC580" s="12"/>
      <c r="AD580" s="12"/>
      <c r="AE580" s="12"/>
      <c r="AF580" s="13">
        <f>H580+I580+J580+K580+M580-N580</f>
        <v>26584</v>
      </c>
      <c r="AG580" s="13">
        <f>SUM(O580:AE580)</f>
        <v>6421</v>
      </c>
      <c r="AH580" s="13">
        <f>AF580-AG580</f>
        <v>20163</v>
      </c>
      <c r="AI580" s="12"/>
      <c r="AJ580" s="12">
        <v>450</v>
      </c>
      <c r="AK580" s="12"/>
    </row>
    <row r="581" spans="1:37">
      <c r="A581" s="10">
        <v>12</v>
      </c>
      <c r="B581" s="11">
        <v>1469</v>
      </c>
      <c r="C581" s="10" t="s">
        <v>610</v>
      </c>
      <c r="D581" s="11" t="s">
        <v>28</v>
      </c>
      <c r="E581" s="11"/>
      <c r="F581" s="10" t="s">
        <v>599</v>
      </c>
      <c r="G581" s="11" t="s">
        <v>26</v>
      </c>
      <c r="H581" s="9"/>
      <c r="I581" s="12"/>
      <c r="J581" s="12">
        <v>150</v>
      </c>
      <c r="K581" s="12">
        <v>2400</v>
      </c>
      <c r="L581" s="12">
        <v>12241</v>
      </c>
      <c r="M581" s="11">
        <f>L581*4+AI581-AJ581</f>
        <v>48964</v>
      </c>
      <c r="N581" s="13">
        <v>2448</v>
      </c>
      <c r="O581" s="12"/>
      <c r="P581" s="12"/>
      <c r="Q581" s="12"/>
      <c r="R581" s="12"/>
      <c r="S581" s="12"/>
      <c r="T581" s="12"/>
      <c r="U581" s="12"/>
      <c r="V581" s="12">
        <v>49066</v>
      </c>
      <c r="W581" s="12"/>
      <c r="X581" s="12"/>
      <c r="Y581" s="12"/>
      <c r="Z581" s="12"/>
      <c r="AA581" s="12"/>
      <c r="AB581" s="12"/>
      <c r="AC581" s="12"/>
      <c r="AD581" s="12"/>
      <c r="AE581" s="12"/>
      <c r="AF581" s="13">
        <f>H581+I581+J581+K581+M581-N581</f>
        <v>49066</v>
      </c>
      <c r="AG581" s="13">
        <f>SUM(O581:AE581)</f>
        <v>49066</v>
      </c>
      <c r="AH581" s="13">
        <f>AF581-AG581</f>
        <v>0</v>
      </c>
      <c r="AI581" s="12"/>
      <c r="AJ581" s="12"/>
      <c r="AK581" s="12"/>
    </row>
    <row r="582" spans="1:37">
      <c r="A582" s="10">
        <v>13</v>
      </c>
      <c r="B582" s="11">
        <v>1061</v>
      </c>
      <c r="C582" s="10" t="s">
        <v>611</v>
      </c>
      <c r="D582" s="11" t="s">
        <v>23</v>
      </c>
      <c r="E582" s="11"/>
      <c r="F582" s="10" t="s">
        <v>599</v>
      </c>
      <c r="G582" s="11" t="s">
        <v>26</v>
      </c>
      <c r="H582" s="9"/>
      <c r="I582" s="12"/>
      <c r="J582" s="12">
        <v>150</v>
      </c>
      <c r="K582" s="12">
        <v>2400</v>
      </c>
      <c r="L582" s="12">
        <v>12241</v>
      </c>
      <c r="M582" s="11">
        <f>L582*4+AI582-AJ582</f>
        <v>48964</v>
      </c>
      <c r="N582" s="13"/>
      <c r="O582" s="12"/>
      <c r="P582" s="12"/>
      <c r="Q582" s="12"/>
      <c r="R582" s="12"/>
      <c r="S582" s="12"/>
      <c r="T582" s="12">
        <v>12991</v>
      </c>
      <c r="U582" s="12"/>
      <c r="V582" s="12"/>
      <c r="W582" s="12"/>
      <c r="X582" s="12"/>
      <c r="Y582" s="12"/>
      <c r="Z582" s="12"/>
      <c r="AA582" s="12"/>
      <c r="AB582" s="12"/>
      <c r="AC582" s="12"/>
      <c r="AD582" s="12"/>
      <c r="AE582" s="12"/>
      <c r="AF582" s="13">
        <f>H582+I582+J582+K582+M582-N582</f>
        <v>51514</v>
      </c>
      <c r="AG582" s="13">
        <f>SUM(O582:AE582)</f>
        <v>12991</v>
      </c>
      <c r="AH582" s="13">
        <f>AF582-AG582</f>
        <v>38523</v>
      </c>
      <c r="AI582" s="12"/>
      <c r="AJ582" s="12"/>
      <c r="AK582" s="12"/>
    </row>
    <row r="583" spans="1:37">
      <c r="A583" s="10">
        <v>14</v>
      </c>
      <c r="B583" s="10">
        <v>1982</v>
      </c>
      <c r="C583" s="10" t="s">
        <v>612</v>
      </c>
      <c r="D583" s="10" t="s">
        <v>23</v>
      </c>
      <c r="E583" s="10"/>
      <c r="F583" s="10" t="s">
        <v>599</v>
      </c>
      <c r="G583" s="11" t="s">
        <v>26</v>
      </c>
      <c r="H583" s="9"/>
      <c r="I583" s="12"/>
      <c r="J583" s="12">
        <v>150</v>
      </c>
      <c r="K583" s="12">
        <v>2400</v>
      </c>
      <c r="L583" s="12">
        <v>12241</v>
      </c>
      <c r="M583" s="11">
        <f>L583*4+AI583-AJ583</f>
        <v>48964</v>
      </c>
      <c r="N583" s="13"/>
      <c r="O583" s="12"/>
      <c r="P583" s="12"/>
      <c r="Q583" s="12"/>
      <c r="R583" s="12"/>
      <c r="S583" s="12"/>
      <c r="T583" s="12">
        <v>12991</v>
      </c>
      <c r="U583" s="12"/>
      <c r="V583" s="12"/>
      <c r="W583" s="12"/>
      <c r="X583" s="12"/>
      <c r="Y583" s="12"/>
      <c r="Z583" s="12"/>
      <c r="AA583" s="12"/>
      <c r="AB583" s="12"/>
      <c r="AC583" s="12"/>
      <c r="AD583" s="12"/>
      <c r="AE583" s="12"/>
      <c r="AF583" s="13">
        <f>H583+I583+J583+K583+M583-N583</f>
        <v>51514</v>
      </c>
      <c r="AG583" s="13">
        <f>SUM(O583:AE583)</f>
        <v>12991</v>
      </c>
      <c r="AH583" s="13">
        <f>AF583-AG583</f>
        <v>38523</v>
      </c>
      <c r="AI583" s="12"/>
      <c r="AJ583" s="12"/>
      <c r="AK583" s="12"/>
    </row>
    <row r="584" spans="1:37">
      <c r="A584" s="10">
        <v>15</v>
      </c>
      <c r="B584" s="11">
        <v>1109</v>
      </c>
      <c r="C584" s="10" t="s">
        <v>613</v>
      </c>
      <c r="D584" s="11" t="s">
        <v>28</v>
      </c>
      <c r="E584" s="11"/>
      <c r="F584" s="10" t="s">
        <v>599</v>
      </c>
      <c r="G584" s="11" t="s">
        <v>26</v>
      </c>
      <c r="H584" s="9"/>
      <c r="I584" s="12"/>
      <c r="J584" s="12">
        <v>150</v>
      </c>
      <c r="K584" s="12">
        <v>2400</v>
      </c>
      <c r="L584" s="12">
        <v>12241</v>
      </c>
      <c r="M584" s="11">
        <f>L584*4+AI584-AJ584</f>
        <v>48964</v>
      </c>
      <c r="N584" s="13"/>
      <c r="O584" s="12"/>
      <c r="P584" s="12"/>
      <c r="Q584" s="12"/>
      <c r="R584" s="12"/>
      <c r="S584" s="12">
        <v>12991</v>
      </c>
      <c r="T584" s="12"/>
      <c r="U584" s="12"/>
      <c r="V584" s="12"/>
      <c r="W584" s="12"/>
      <c r="X584" s="12"/>
      <c r="Y584" s="12"/>
      <c r="Z584" s="12"/>
      <c r="AA584" s="12"/>
      <c r="AB584" s="12"/>
      <c r="AC584" s="12"/>
      <c r="AD584" s="12"/>
      <c r="AE584" s="12"/>
      <c r="AF584" s="13">
        <f>H584+I584+J584+K584+M584-N584</f>
        <v>51514</v>
      </c>
      <c r="AG584" s="13">
        <f>SUM(O584:AE584)</f>
        <v>12991</v>
      </c>
      <c r="AH584" s="13">
        <f>AF584-AG584</f>
        <v>38523</v>
      </c>
      <c r="AI584" s="12"/>
      <c r="AJ584" s="12"/>
      <c r="AK584" s="12"/>
    </row>
    <row r="585" spans="1:37">
      <c r="A585" s="10">
        <v>16</v>
      </c>
      <c r="B585" s="11">
        <v>1016</v>
      </c>
      <c r="C585" s="10" t="s">
        <v>614</v>
      </c>
      <c r="D585" s="11" t="s">
        <v>28</v>
      </c>
      <c r="E585" s="11"/>
      <c r="F585" s="10" t="s">
        <v>599</v>
      </c>
      <c r="G585" s="11" t="s">
        <v>26</v>
      </c>
      <c r="H585" s="9"/>
      <c r="I585" s="12"/>
      <c r="J585" s="12">
        <v>150</v>
      </c>
      <c r="K585" s="12">
        <v>2400</v>
      </c>
      <c r="L585" s="12">
        <v>12241</v>
      </c>
      <c r="M585" s="11">
        <f>L585*4+AI585-AJ585</f>
        <v>48964</v>
      </c>
      <c r="N585" s="13"/>
      <c r="O585" s="12"/>
      <c r="P585" s="12"/>
      <c r="Q585" s="12"/>
      <c r="R585" s="12"/>
      <c r="S585" s="12">
        <v>12991</v>
      </c>
      <c r="T585" s="12"/>
      <c r="U585" s="12"/>
      <c r="V585" s="12">
        <v>12841</v>
      </c>
      <c r="W585" s="12"/>
      <c r="X585" s="12"/>
      <c r="Y585" s="12"/>
      <c r="Z585" s="12"/>
      <c r="AA585" s="12"/>
      <c r="AB585" s="12"/>
      <c r="AC585" s="12"/>
      <c r="AD585" s="12"/>
      <c r="AE585" s="12"/>
      <c r="AF585" s="13">
        <f>H585+I585+J585+K585+M585-N585</f>
        <v>51514</v>
      </c>
      <c r="AG585" s="13">
        <f>SUM(O585:AE585)</f>
        <v>25832</v>
      </c>
      <c r="AH585" s="13">
        <f>AF585-AG585</f>
        <v>25682</v>
      </c>
      <c r="AI585" s="12"/>
      <c r="AJ585" s="12"/>
      <c r="AK585" s="12"/>
    </row>
    <row r="586" spans="1:37">
      <c r="A586" s="10">
        <v>17</v>
      </c>
      <c r="B586" s="11">
        <v>1582</v>
      </c>
      <c r="C586" s="10" t="s">
        <v>615</v>
      </c>
      <c r="D586" s="11" t="s">
        <v>23</v>
      </c>
      <c r="E586" s="11"/>
      <c r="F586" s="10" t="s">
        <v>599</v>
      </c>
      <c r="G586" s="11" t="s">
        <v>26</v>
      </c>
      <c r="H586" s="9"/>
      <c r="I586" s="12"/>
      <c r="J586" s="12">
        <v>150</v>
      </c>
      <c r="K586" s="12">
        <v>2400</v>
      </c>
      <c r="L586" s="12">
        <v>12241</v>
      </c>
      <c r="M586" s="11">
        <f>L586*4+AI586-AJ586</f>
        <v>48964</v>
      </c>
      <c r="N586" s="13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  <c r="AA586" s="12"/>
      <c r="AB586" s="12"/>
      <c r="AC586" s="12"/>
      <c r="AD586" s="12"/>
      <c r="AE586" s="12"/>
      <c r="AF586" s="13">
        <f>H586+I586+J586+K586+M586-N586</f>
        <v>51514</v>
      </c>
      <c r="AG586" s="13">
        <f>SUM(O586:AE586)</f>
        <v>0</v>
      </c>
      <c r="AH586" s="13">
        <f>AF586-AG586</f>
        <v>51514</v>
      </c>
      <c r="AI586" s="12"/>
      <c r="AJ586" s="12"/>
      <c r="AK586" s="12"/>
    </row>
    <row r="587" spans="1:37">
      <c r="A587" s="10">
        <v>18</v>
      </c>
      <c r="B587" s="27">
        <v>1017</v>
      </c>
      <c r="C587" s="26" t="s">
        <v>616</v>
      </c>
      <c r="D587" s="27" t="s">
        <v>28</v>
      </c>
      <c r="E587" s="27"/>
      <c r="F587" s="26" t="s">
        <v>599</v>
      </c>
      <c r="G587" s="27" t="s">
        <v>26</v>
      </c>
      <c r="H587" s="9"/>
      <c r="I587" s="12"/>
      <c r="J587" s="12">
        <v>150</v>
      </c>
      <c r="K587" s="12">
        <v>2400</v>
      </c>
      <c r="L587" s="12">
        <v>6121</v>
      </c>
      <c r="M587" s="11">
        <f>L587*4+AI587-AJ587</f>
        <v>24519</v>
      </c>
      <c r="N587" s="13"/>
      <c r="O587" s="12"/>
      <c r="P587" s="12"/>
      <c r="Q587" s="12"/>
      <c r="R587" s="12"/>
      <c r="S587" s="12"/>
      <c r="T587" s="11">
        <f>6495+376</f>
        <v>6871</v>
      </c>
      <c r="U587" s="12"/>
      <c r="V587" s="12"/>
      <c r="W587" s="12"/>
      <c r="X587" s="12"/>
      <c r="Y587" s="12"/>
      <c r="Z587" s="12"/>
      <c r="AA587" s="12"/>
      <c r="AB587" s="12"/>
      <c r="AC587" s="12"/>
      <c r="AD587" s="12"/>
      <c r="AE587" s="12"/>
      <c r="AF587" s="13">
        <f>H587+I587+J587+K587+M587-N587</f>
        <v>27069</v>
      </c>
      <c r="AG587" s="13">
        <f>SUM(O587:AE587)</f>
        <v>6871</v>
      </c>
      <c r="AH587" s="13">
        <f>AF587-AG587</f>
        <v>20198</v>
      </c>
      <c r="AI587" s="12">
        <v>35</v>
      </c>
      <c r="AJ587" s="12"/>
      <c r="AK587" s="12"/>
    </row>
    <row r="588" spans="1:37">
      <c r="A588" s="10">
        <v>19</v>
      </c>
      <c r="B588" s="11">
        <v>1898</v>
      </c>
      <c r="C588" s="10" t="s">
        <v>617</v>
      </c>
      <c r="D588" s="11" t="s">
        <v>28</v>
      </c>
      <c r="E588" s="11"/>
      <c r="F588" s="10" t="s">
        <v>599</v>
      </c>
      <c r="G588" s="11" t="s">
        <v>26</v>
      </c>
      <c r="H588" s="9"/>
      <c r="I588" s="12"/>
      <c r="J588" s="12">
        <v>150</v>
      </c>
      <c r="K588" s="12">
        <v>2400</v>
      </c>
      <c r="L588" s="12">
        <v>12241</v>
      </c>
      <c r="M588" s="11">
        <f>L588*4+AI588-AJ588</f>
        <v>48964</v>
      </c>
      <c r="N588" s="13"/>
      <c r="O588" s="12"/>
      <c r="P588" s="12"/>
      <c r="Q588" s="12"/>
      <c r="R588" s="12"/>
      <c r="S588" s="12">
        <v>12991</v>
      </c>
      <c r="T588" s="12"/>
      <c r="U588" s="12"/>
      <c r="V588" s="12"/>
      <c r="W588" s="12"/>
      <c r="X588" s="12"/>
      <c r="Y588" s="12"/>
      <c r="Z588" s="12"/>
      <c r="AA588" s="12"/>
      <c r="AB588" s="12"/>
      <c r="AC588" s="12"/>
      <c r="AD588" s="12"/>
      <c r="AE588" s="12"/>
      <c r="AF588" s="13">
        <f>H588+I588+J588+K588+M588-N588</f>
        <v>51514</v>
      </c>
      <c r="AG588" s="13">
        <f>SUM(O588:AE588)</f>
        <v>12991</v>
      </c>
      <c r="AH588" s="13">
        <f>AF588-AG588</f>
        <v>38523</v>
      </c>
      <c r="AI588" s="12"/>
      <c r="AJ588" s="12"/>
      <c r="AK588" s="12"/>
    </row>
    <row r="589" spans="1:37">
      <c r="A589" s="10">
        <v>20</v>
      </c>
      <c r="B589" s="27">
        <v>1184</v>
      </c>
      <c r="C589" s="26" t="s">
        <v>618</v>
      </c>
      <c r="D589" s="27" t="s">
        <v>23</v>
      </c>
      <c r="E589" s="27"/>
      <c r="F589" s="26" t="s">
        <v>599</v>
      </c>
      <c r="G589" s="27" t="s">
        <v>26</v>
      </c>
      <c r="H589" s="9"/>
      <c r="I589" s="12"/>
      <c r="J589" s="12">
        <v>150</v>
      </c>
      <c r="K589" s="12">
        <v>2400</v>
      </c>
      <c r="L589" s="12">
        <v>6121</v>
      </c>
      <c r="M589" s="11">
        <f>L589*4+AI589-AJ589</f>
        <v>24484</v>
      </c>
      <c r="N589" s="13"/>
      <c r="O589" s="12"/>
      <c r="P589" s="12"/>
      <c r="Q589" s="12"/>
      <c r="R589" s="12"/>
      <c r="S589" s="12"/>
      <c r="T589" s="12">
        <v>6871</v>
      </c>
      <c r="U589" s="12"/>
      <c r="V589" s="12">
        <v>6721</v>
      </c>
      <c r="W589" s="12"/>
      <c r="X589" s="12"/>
      <c r="Y589" s="12"/>
      <c r="Z589" s="12"/>
      <c r="AA589" s="12"/>
      <c r="AB589" s="12"/>
      <c r="AC589" s="12"/>
      <c r="AD589" s="12"/>
      <c r="AE589" s="12"/>
      <c r="AF589" s="13">
        <f>H589+I589+J589+K589+M589-N589</f>
        <v>27034</v>
      </c>
      <c r="AG589" s="13">
        <f>SUM(O589:AE589)</f>
        <v>13592</v>
      </c>
      <c r="AH589" s="13">
        <f>AF589-AG589</f>
        <v>13442</v>
      </c>
      <c r="AI589" s="12"/>
      <c r="AJ589" s="12"/>
      <c r="AK589" s="12"/>
    </row>
    <row r="590" spans="1:37">
      <c r="A590" s="10">
        <v>21</v>
      </c>
      <c r="B590" s="11">
        <v>1052</v>
      </c>
      <c r="C590" s="10" t="s">
        <v>619</v>
      </c>
      <c r="D590" s="11" t="s">
        <v>23</v>
      </c>
      <c r="E590" s="11"/>
      <c r="F590" s="10" t="s">
        <v>599</v>
      </c>
      <c r="G590" s="11" t="s">
        <v>26</v>
      </c>
      <c r="H590" s="9"/>
      <c r="I590" s="12"/>
      <c r="J590" s="12">
        <v>150</v>
      </c>
      <c r="K590" s="12">
        <v>2400</v>
      </c>
      <c r="L590" s="12">
        <v>12241</v>
      </c>
      <c r="M590" s="11">
        <f>L590*4+AI590-AJ590</f>
        <v>48964</v>
      </c>
      <c r="N590" s="13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  <c r="AA590" s="12"/>
      <c r="AB590" s="12"/>
      <c r="AC590" s="12"/>
      <c r="AD590" s="12"/>
      <c r="AE590" s="12"/>
      <c r="AF590" s="13">
        <f>H590+I590+J590+K590+M590-N590</f>
        <v>51514</v>
      </c>
      <c r="AG590" s="13">
        <f>SUM(O590:AE590)</f>
        <v>0</v>
      </c>
      <c r="AH590" s="13">
        <f>AF590-AG590</f>
        <v>51514</v>
      </c>
      <c r="AI590" s="12"/>
      <c r="AJ590" s="12"/>
      <c r="AK590" s="12"/>
    </row>
    <row r="591" spans="1:37">
      <c r="A591" s="10">
        <v>22</v>
      </c>
      <c r="B591" s="11">
        <v>1242</v>
      </c>
      <c r="C591" s="10" t="s">
        <v>620</v>
      </c>
      <c r="D591" s="11" t="s">
        <v>23</v>
      </c>
      <c r="E591" s="11"/>
      <c r="F591" s="10" t="s">
        <v>599</v>
      </c>
      <c r="G591" s="11" t="s">
        <v>26</v>
      </c>
      <c r="H591" s="9"/>
      <c r="I591" s="12"/>
      <c r="J591" s="12">
        <v>150</v>
      </c>
      <c r="K591" s="12">
        <v>2400</v>
      </c>
      <c r="L591" s="12">
        <v>12241</v>
      </c>
      <c r="M591" s="11">
        <f>L591*4+AI591-AJ591</f>
        <v>48964</v>
      </c>
      <c r="N591" s="13"/>
      <c r="O591" s="12"/>
      <c r="P591" s="12"/>
      <c r="Q591" s="12"/>
      <c r="R591" s="12"/>
      <c r="S591" s="12"/>
      <c r="T591" s="12">
        <v>12991</v>
      </c>
      <c r="U591" s="12"/>
      <c r="V591" s="12"/>
      <c r="W591" s="12"/>
      <c r="X591" s="12"/>
      <c r="Y591" s="12"/>
      <c r="Z591" s="12"/>
      <c r="AA591" s="12"/>
      <c r="AB591" s="12"/>
      <c r="AC591" s="12"/>
      <c r="AD591" s="12"/>
      <c r="AE591" s="12"/>
      <c r="AF591" s="13">
        <f>H591+I591+J591+K591+M591-N591</f>
        <v>51514</v>
      </c>
      <c r="AG591" s="13">
        <f>SUM(O591:AE591)</f>
        <v>12991</v>
      </c>
      <c r="AH591" s="13">
        <f>AF591-AG591</f>
        <v>38523</v>
      </c>
      <c r="AI591" s="12"/>
      <c r="AJ591" s="12"/>
      <c r="AK591" s="12"/>
    </row>
    <row r="592" spans="1:37">
      <c r="A592" s="10">
        <v>23</v>
      </c>
      <c r="B592" s="22">
        <v>2218</v>
      </c>
      <c r="C592" s="21" t="s">
        <v>621</v>
      </c>
      <c r="D592" s="22" t="s">
        <v>28</v>
      </c>
      <c r="E592" s="22" t="s">
        <v>24</v>
      </c>
      <c r="F592" s="21" t="s">
        <v>599</v>
      </c>
      <c r="G592" s="22" t="s">
        <v>26</v>
      </c>
      <c r="H592" s="9">
        <v>5000</v>
      </c>
      <c r="I592" s="12">
        <v>1200</v>
      </c>
      <c r="J592" s="12">
        <v>150</v>
      </c>
      <c r="K592" s="12">
        <v>2400</v>
      </c>
      <c r="L592" s="12">
        <v>12241</v>
      </c>
      <c r="M592" s="11">
        <f>L592*4+AI592-AJ592</f>
        <v>48964</v>
      </c>
      <c r="N592" s="13">
        <v>2448</v>
      </c>
      <c r="O592" s="12">
        <v>5000</v>
      </c>
      <c r="P592" s="12">
        <v>1200</v>
      </c>
      <c r="Q592" s="12"/>
      <c r="R592" s="11">
        <f>46516+2400+150</f>
        <v>49066</v>
      </c>
      <c r="S592" s="12"/>
      <c r="T592" s="12"/>
      <c r="U592" s="12"/>
      <c r="V592" s="12"/>
      <c r="W592" s="12"/>
      <c r="X592" s="12"/>
      <c r="Y592" s="12"/>
      <c r="Z592" s="12"/>
      <c r="AA592" s="12"/>
      <c r="AB592" s="12"/>
      <c r="AC592" s="12"/>
      <c r="AD592" s="12"/>
      <c r="AE592" s="12"/>
      <c r="AF592" s="13">
        <f>H592+I592+J592+K592+M592-N592</f>
        <v>55266</v>
      </c>
      <c r="AG592" s="13">
        <f>SUM(O592:AE592)</f>
        <v>55266</v>
      </c>
      <c r="AH592" s="13">
        <f>AF592-AG592</f>
        <v>0</v>
      </c>
      <c r="AI592" s="12"/>
      <c r="AJ592" s="12"/>
      <c r="AK592" s="12"/>
    </row>
    <row r="593" spans="1:37">
      <c r="A593" s="10">
        <v>24</v>
      </c>
      <c r="B593" s="22">
        <v>2207</v>
      </c>
      <c r="C593" s="21" t="s">
        <v>622</v>
      </c>
      <c r="D593" s="22" t="s">
        <v>28</v>
      </c>
      <c r="E593" s="22" t="s">
        <v>24</v>
      </c>
      <c r="F593" s="21" t="s">
        <v>599</v>
      </c>
      <c r="G593" s="22" t="s">
        <v>26</v>
      </c>
      <c r="H593" s="9">
        <v>5000</v>
      </c>
      <c r="I593" s="12">
        <v>1200</v>
      </c>
      <c r="J593" s="12">
        <v>150</v>
      </c>
      <c r="K593" s="12">
        <v>2400</v>
      </c>
      <c r="L593" s="12">
        <v>12241</v>
      </c>
      <c r="M593" s="11">
        <f>L593*4+AI593-AJ593</f>
        <v>48964</v>
      </c>
      <c r="N593" s="13"/>
      <c r="O593" s="12">
        <v>5000</v>
      </c>
      <c r="P593" s="12">
        <v>1200</v>
      </c>
      <c r="Q593" s="12"/>
      <c r="R593" s="11">
        <f>12241+150+600</f>
        <v>12991</v>
      </c>
      <c r="S593" s="12"/>
      <c r="T593" s="12"/>
      <c r="U593" s="12"/>
      <c r="V593" s="12"/>
      <c r="W593" s="12"/>
      <c r="X593" s="12"/>
      <c r="Y593" s="12"/>
      <c r="Z593" s="12"/>
      <c r="AA593" s="12"/>
      <c r="AB593" s="12"/>
      <c r="AC593" s="12"/>
      <c r="AD593" s="12"/>
      <c r="AE593" s="12"/>
      <c r="AF593" s="13">
        <f>H593+I593+J593+K593+M593-N593</f>
        <v>57714</v>
      </c>
      <c r="AG593" s="13">
        <f>SUM(O593:AE593)</f>
        <v>19191</v>
      </c>
      <c r="AH593" s="13">
        <f>AF593-AG593</f>
        <v>38523</v>
      </c>
      <c r="AI593" s="12"/>
      <c r="AJ593" s="12"/>
      <c r="AK593" s="12"/>
    </row>
    <row r="594" spans="1:37" customHeight="1" ht="25.5">
      <c r="A594" s="10">
        <v>25</v>
      </c>
      <c r="B594" s="37">
        <v>1331</v>
      </c>
      <c r="C594" s="32" t="s">
        <v>623</v>
      </c>
      <c r="D594" s="37" t="s">
        <v>23</v>
      </c>
      <c r="E594" s="37"/>
      <c r="F594" s="32" t="s">
        <v>599</v>
      </c>
      <c r="G594" s="37" t="s">
        <v>26</v>
      </c>
      <c r="H594" s="9"/>
      <c r="I594" s="12"/>
      <c r="J594" s="12">
        <v>150</v>
      </c>
      <c r="K594" s="12">
        <v>2400</v>
      </c>
      <c r="L594" s="12">
        <v>12241</v>
      </c>
      <c r="M594" s="11">
        <f>L594*4+AI594-AJ594</f>
        <v>48964</v>
      </c>
      <c r="N594" s="13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  <c r="AA594" s="12"/>
      <c r="AB594" s="12"/>
      <c r="AC594" s="12"/>
      <c r="AD594" s="12"/>
      <c r="AE594" s="12"/>
      <c r="AF594" s="13">
        <f>H594+I594+J594+K594+M594-N594</f>
        <v>51514</v>
      </c>
      <c r="AG594" s="13">
        <f>SUM(O594:AE594)</f>
        <v>0</v>
      </c>
      <c r="AH594" s="13">
        <f>AF594-AG594</f>
        <v>51514</v>
      </c>
      <c r="AI594" s="12"/>
      <c r="AJ594" s="12"/>
      <c r="AK594" s="12"/>
    </row>
    <row r="595" spans="1:37">
      <c r="A595" s="10">
        <v>26</v>
      </c>
      <c r="B595" s="11">
        <v>1104</v>
      </c>
      <c r="C595" s="10" t="s">
        <v>624</v>
      </c>
      <c r="D595" s="11" t="s">
        <v>23</v>
      </c>
      <c r="E595" s="11"/>
      <c r="F595" s="10" t="s">
        <v>599</v>
      </c>
      <c r="G595" s="11" t="s">
        <v>26</v>
      </c>
      <c r="H595" s="9"/>
      <c r="I595" s="12"/>
      <c r="J595" s="12">
        <v>150</v>
      </c>
      <c r="K595" s="12">
        <v>2400</v>
      </c>
      <c r="L595" s="12">
        <v>12241</v>
      </c>
      <c r="M595" s="11">
        <f>L595*4+AI595-AJ595</f>
        <v>48964</v>
      </c>
      <c r="N595" s="13"/>
      <c r="O595" s="12"/>
      <c r="P595" s="12"/>
      <c r="Q595" s="12"/>
      <c r="R595" s="12"/>
      <c r="S595" s="12">
        <v>12991</v>
      </c>
      <c r="T595" s="12"/>
      <c r="U595" s="12"/>
      <c r="V595" s="12">
        <v>12841</v>
      </c>
      <c r="W595" s="12"/>
      <c r="X595" s="12"/>
      <c r="Y595" s="12"/>
      <c r="Z595" s="12"/>
      <c r="AA595" s="12"/>
      <c r="AB595" s="12"/>
      <c r="AC595" s="12"/>
      <c r="AD595" s="12"/>
      <c r="AE595" s="12"/>
      <c r="AF595" s="13">
        <f>H595+I595+J595+K595+M595-N595</f>
        <v>51514</v>
      </c>
      <c r="AG595" s="13">
        <f>SUM(O595:AE595)</f>
        <v>25832</v>
      </c>
      <c r="AH595" s="13">
        <f>AF595-AG595</f>
        <v>25682</v>
      </c>
      <c r="AI595" s="12"/>
      <c r="AJ595" s="12"/>
      <c r="AK595" s="12"/>
    </row>
    <row r="596" spans="1:37">
      <c r="A596" s="10">
        <v>27</v>
      </c>
      <c r="B596" s="27">
        <v>1063</v>
      </c>
      <c r="C596" s="26" t="s">
        <v>625</v>
      </c>
      <c r="D596" s="27" t="s">
        <v>23</v>
      </c>
      <c r="E596" s="27"/>
      <c r="F596" s="26" t="s">
        <v>599</v>
      </c>
      <c r="G596" s="27" t="s">
        <v>26</v>
      </c>
      <c r="H596" s="9"/>
      <c r="I596" s="12"/>
      <c r="J596" s="12">
        <v>150</v>
      </c>
      <c r="K596" s="12">
        <v>2400</v>
      </c>
      <c r="L596" s="12">
        <v>6121</v>
      </c>
      <c r="M596" s="11">
        <f>L596*4+AI596-AJ596</f>
        <v>24484</v>
      </c>
      <c r="N596" s="13"/>
      <c r="O596" s="12"/>
      <c r="P596" s="12"/>
      <c r="Q596" s="12"/>
      <c r="R596" s="12"/>
      <c r="S596" s="12"/>
      <c r="T596" s="12">
        <v>6871</v>
      </c>
      <c r="U596" s="12"/>
      <c r="V596" s="12">
        <v>6721</v>
      </c>
      <c r="W596" s="12"/>
      <c r="X596" s="12"/>
      <c r="Y596" s="12"/>
      <c r="Z596" s="12"/>
      <c r="AA596" s="12"/>
      <c r="AB596" s="12"/>
      <c r="AC596" s="12"/>
      <c r="AD596" s="12"/>
      <c r="AE596" s="12"/>
      <c r="AF596" s="13">
        <f>H596+I596+J596+K596+M596-N596</f>
        <v>27034</v>
      </c>
      <c r="AG596" s="13">
        <f>SUM(O596:AE596)</f>
        <v>13592</v>
      </c>
      <c r="AH596" s="13">
        <f>AF596-AG596</f>
        <v>13442</v>
      </c>
      <c r="AI596" s="12"/>
      <c r="AJ596" s="12"/>
      <c r="AK596" s="12"/>
    </row>
    <row r="597" spans="1:37">
      <c r="A597" s="10">
        <v>28</v>
      </c>
      <c r="B597" s="10">
        <v>1942</v>
      </c>
      <c r="C597" s="10" t="s">
        <v>626</v>
      </c>
      <c r="D597" s="10" t="s">
        <v>28</v>
      </c>
      <c r="E597" s="38"/>
      <c r="F597" s="10" t="s">
        <v>599</v>
      </c>
      <c r="G597" s="36" t="s">
        <v>26</v>
      </c>
      <c r="H597" s="9"/>
      <c r="I597" s="12"/>
      <c r="J597" s="12">
        <v>150</v>
      </c>
      <c r="K597" s="12">
        <v>2400</v>
      </c>
      <c r="L597" s="12">
        <v>12241</v>
      </c>
      <c r="M597" s="11">
        <f>L597*4+AI597-AJ597</f>
        <v>48964</v>
      </c>
      <c r="N597" s="13"/>
      <c r="O597" s="12"/>
      <c r="P597" s="12"/>
      <c r="Q597" s="12"/>
      <c r="R597" s="12"/>
      <c r="S597" s="12"/>
      <c r="T597" s="12">
        <v>12991</v>
      </c>
      <c r="U597" s="12"/>
      <c r="V597" s="12"/>
      <c r="W597" s="12"/>
      <c r="X597" s="12"/>
      <c r="Y597" s="12"/>
      <c r="Z597" s="12"/>
      <c r="AA597" s="12"/>
      <c r="AB597" s="12"/>
      <c r="AC597" s="12"/>
      <c r="AD597" s="12"/>
      <c r="AE597" s="12"/>
      <c r="AF597" s="13">
        <f>H597+I597+J597+K597+M597-N597</f>
        <v>51514</v>
      </c>
      <c r="AG597" s="13">
        <f>SUM(O597:AE597)</f>
        <v>12991</v>
      </c>
      <c r="AH597" s="13">
        <f>AF597-AG597</f>
        <v>38523</v>
      </c>
      <c r="AI597" s="12"/>
      <c r="AJ597" s="12"/>
      <c r="AK597" s="12"/>
    </row>
    <row r="598" spans="1:37">
      <c r="A598" s="10">
        <v>29</v>
      </c>
      <c r="B598" s="26">
        <v>2122</v>
      </c>
      <c r="C598" s="26" t="s">
        <v>627</v>
      </c>
      <c r="D598" s="26" t="s">
        <v>28</v>
      </c>
      <c r="E598" s="39"/>
      <c r="F598" s="26" t="s">
        <v>599</v>
      </c>
      <c r="G598" s="40" t="s">
        <v>26</v>
      </c>
      <c r="H598" s="9"/>
      <c r="I598" s="12"/>
      <c r="J598" s="12">
        <v>150</v>
      </c>
      <c r="K598" s="12">
        <v>2400</v>
      </c>
      <c r="L598" s="12">
        <v>6121</v>
      </c>
      <c r="M598" s="11">
        <f>L598*4+AI598-AJ598</f>
        <v>24484</v>
      </c>
      <c r="N598" s="13"/>
      <c r="O598" s="12"/>
      <c r="P598" s="12"/>
      <c r="Q598" s="12"/>
      <c r="R598" s="12"/>
      <c r="S598" s="12"/>
      <c r="T598" s="12">
        <v>2165</v>
      </c>
      <c r="U598" s="12">
        <v>2165</v>
      </c>
      <c r="V598" s="12">
        <v>2165</v>
      </c>
      <c r="W598" s="12"/>
      <c r="X598" s="12"/>
      <c r="Y598" s="12"/>
      <c r="Z598" s="12"/>
      <c r="AA598" s="12"/>
      <c r="AB598" s="12"/>
      <c r="AC598" s="12"/>
      <c r="AD598" s="12"/>
      <c r="AE598" s="12"/>
      <c r="AF598" s="13">
        <f>H598+I598+J598+K598+M598-N598</f>
        <v>27034</v>
      </c>
      <c r="AG598" s="13">
        <f>SUM(O598:AE598)</f>
        <v>6495</v>
      </c>
      <c r="AH598" s="13">
        <f>AF598-AG598</f>
        <v>20539</v>
      </c>
      <c r="AI598" s="12"/>
      <c r="AJ598" s="12"/>
      <c r="AK598" s="12"/>
    </row>
    <row r="599" spans="1:37">
      <c r="A599" s="10">
        <v>30</v>
      </c>
      <c r="B599" s="11">
        <v>1385</v>
      </c>
      <c r="C599" s="10" t="s">
        <v>628</v>
      </c>
      <c r="D599" s="11" t="s">
        <v>28</v>
      </c>
      <c r="E599" s="11"/>
      <c r="F599" s="10" t="s">
        <v>599</v>
      </c>
      <c r="G599" s="11" t="s">
        <v>26</v>
      </c>
      <c r="H599" s="9"/>
      <c r="I599" s="12"/>
      <c r="J599" s="12">
        <v>150</v>
      </c>
      <c r="K599" s="12">
        <v>2400</v>
      </c>
      <c r="L599" s="12">
        <v>12241</v>
      </c>
      <c r="M599" s="11">
        <f>L599*4+AI599-AJ599</f>
        <v>48964</v>
      </c>
      <c r="N599" s="13"/>
      <c r="O599" s="12"/>
      <c r="P599" s="12"/>
      <c r="Q599" s="12"/>
      <c r="R599" s="12"/>
      <c r="S599" s="12"/>
      <c r="T599" s="12">
        <v>12991</v>
      </c>
      <c r="U599" s="12"/>
      <c r="V599" s="12"/>
      <c r="W599" s="12"/>
      <c r="X599" s="12"/>
      <c r="Y599" s="12"/>
      <c r="Z599" s="12"/>
      <c r="AA599" s="12"/>
      <c r="AB599" s="12"/>
      <c r="AC599" s="12"/>
      <c r="AD599" s="12"/>
      <c r="AE599" s="12"/>
      <c r="AF599" s="13">
        <f>H599+I599+J599+K599+M599-N599</f>
        <v>51514</v>
      </c>
      <c r="AG599" s="13">
        <f>SUM(O599:AE599)</f>
        <v>12991</v>
      </c>
      <c r="AH599" s="13">
        <f>AF599-AG599</f>
        <v>38523</v>
      </c>
      <c r="AI599" s="12"/>
      <c r="AJ599" s="12"/>
      <c r="AK599" s="12"/>
    </row>
    <row r="600" spans="1:37">
      <c r="A600" s="10">
        <v>31</v>
      </c>
      <c r="B600" s="10">
        <v>1961</v>
      </c>
      <c r="C600" s="10" t="s">
        <v>629</v>
      </c>
      <c r="D600" s="10" t="s">
        <v>28</v>
      </c>
      <c r="E600" s="10"/>
      <c r="F600" s="10" t="s">
        <v>599</v>
      </c>
      <c r="G600" s="11" t="s">
        <v>26</v>
      </c>
      <c r="H600" s="9"/>
      <c r="I600" s="12"/>
      <c r="J600" s="12">
        <v>150</v>
      </c>
      <c r="K600" s="12">
        <v>2400</v>
      </c>
      <c r="L600" s="12">
        <v>12241</v>
      </c>
      <c r="M600" s="11">
        <f>L600*4+AI600-AJ600</f>
        <v>48964</v>
      </c>
      <c r="N600" s="13"/>
      <c r="O600" s="12"/>
      <c r="P600" s="12"/>
      <c r="Q600" s="12"/>
      <c r="R600" s="12"/>
      <c r="S600" s="12"/>
      <c r="T600" s="12">
        <v>12991</v>
      </c>
      <c r="U600" s="12"/>
      <c r="V600" s="12"/>
      <c r="W600" s="12"/>
      <c r="X600" s="12"/>
      <c r="Y600" s="12"/>
      <c r="Z600" s="12"/>
      <c r="AA600" s="12"/>
      <c r="AB600" s="12"/>
      <c r="AC600" s="12"/>
      <c r="AD600" s="12"/>
      <c r="AE600" s="12"/>
      <c r="AF600" s="13">
        <f>H600+I600+J600+K600+M600-N600</f>
        <v>51514</v>
      </c>
      <c r="AG600" s="13">
        <f>SUM(O600:AE600)</f>
        <v>12991</v>
      </c>
      <c r="AH600" s="13">
        <f>AF600-AG600</f>
        <v>38523</v>
      </c>
      <c r="AI600" s="12"/>
      <c r="AJ600" s="12"/>
      <c r="AK600" s="12"/>
    </row>
    <row r="601" spans="1:37">
      <c r="A601" s="10">
        <v>32</v>
      </c>
      <c r="B601" s="10">
        <v>1024</v>
      </c>
      <c r="C601" s="10" t="s">
        <v>630</v>
      </c>
      <c r="D601" s="10" t="s">
        <v>23</v>
      </c>
      <c r="E601" s="10"/>
      <c r="F601" s="10" t="s">
        <v>599</v>
      </c>
      <c r="G601" s="11" t="s">
        <v>26</v>
      </c>
      <c r="H601" s="9"/>
      <c r="I601" s="12"/>
      <c r="J601" s="12">
        <v>150</v>
      </c>
      <c r="K601" s="12">
        <v>2400</v>
      </c>
      <c r="L601" s="12">
        <v>12241</v>
      </c>
      <c r="M601" s="11">
        <f>L601*4+AI601-AJ601</f>
        <v>48964</v>
      </c>
      <c r="N601" s="13"/>
      <c r="O601" s="12"/>
      <c r="P601" s="12"/>
      <c r="Q601" s="12"/>
      <c r="R601" s="12"/>
      <c r="S601" s="12">
        <v>12991</v>
      </c>
      <c r="T601" s="12"/>
      <c r="U601" s="12"/>
      <c r="V601" s="12"/>
      <c r="W601" s="12"/>
      <c r="X601" s="12"/>
      <c r="Y601" s="12"/>
      <c r="Z601" s="12"/>
      <c r="AA601" s="12"/>
      <c r="AB601" s="12"/>
      <c r="AC601" s="12"/>
      <c r="AD601" s="12"/>
      <c r="AE601" s="12"/>
      <c r="AF601" s="13">
        <f>H601+I601+J601+K601+M601-N601</f>
        <v>51514</v>
      </c>
      <c r="AG601" s="13">
        <f>SUM(O601:AE601)</f>
        <v>12991</v>
      </c>
      <c r="AH601" s="13">
        <f>AF601-AG601</f>
        <v>38523</v>
      </c>
      <c r="AI601" s="12"/>
      <c r="AJ601" s="12"/>
      <c r="AK601" s="12"/>
    </row>
    <row r="602" spans="1:37">
      <c r="A602" s="10">
        <v>1</v>
      </c>
      <c r="B602" s="11">
        <v>1566</v>
      </c>
      <c r="C602" s="10" t="s">
        <v>631</v>
      </c>
      <c r="D602" s="11" t="s">
        <v>28</v>
      </c>
      <c r="E602" s="11"/>
      <c r="F602" s="10" t="s">
        <v>599</v>
      </c>
      <c r="G602" s="11" t="s">
        <v>62</v>
      </c>
      <c r="H602" s="9"/>
      <c r="I602" s="12"/>
      <c r="J602" s="12">
        <v>150</v>
      </c>
      <c r="K602" s="12">
        <v>2400</v>
      </c>
      <c r="L602" s="12">
        <v>12241</v>
      </c>
      <c r="M602" s="11">
        <f>L602*4+AI602-AJ602</f>
        <v>48964</v>
      </c>
      <c r="N602" s="13"/>
      <c r="O602" s="12"/>
      <c r="P602" s="12"/>
      <c r="Q602" s="12"/>
      <c r="R602" s="12"/>
      <c r="S602" s="12"/>
      <c r="T602" s="12">
        <v>12991</v>
      </c>
      <c r="U602" s="12"/>
      <c r="V602" s="12">
        <v>12841</v>
      </c>
      <c r="W602" s="12"/>
      <c r="X602" s="12"/>
      <c r="Y602" s="12"/>
      <c r="Z602" s="12"/>
      <c r="AA602" s="12"/>
      <c r="AB602" s="12"/>
      <c r="AC602" s="12"/>
      <c r="AD602" s="12"/>
      <c r="AE602" s="12"/>
      <c r="AF602" s="13">
        <f>H602+I602+J602+K602+M602-N602</f>
        <v>51514</v>
      </c>
      <c r="AG602" s="13">
        <f>SUM(O602:AE602)</f>
        <v>25832</v>
      </c>
      <c r="AH602" s="13">
        <f>AF602-AG602</f>
        <v>25682</v>
      </c>
      <c r="AI602" s="12"/>
      <c r="AJ602" s="12"/>
      <c r="AK602" s="12"/>
    </row>
    <row r="603" spans="1:37">
      <c r="A603" s="10">
        <v>2</v>
      </c>
      <c r="B603" s="11">
        <v>1018</v>
      </c>
      <c r="C603" s="10" t="s">
        <v>632</v>
      </c>
      <c r="D603" s="11" t="s">
        <v>23</v>
      </c>
      <c r="E603" s="11"/>
      <c r="F603" s="10" t="s">
        <v>599</v>
      </c>
      <c r="G603" s="11" t="s">
        <v>62</v>
      </c>
      <c r="H603" s="9"/>
      <c r="I603" s="12"/>
      <c r="J603" s="12">
        <v>150</v>
      </c>
      <c r="K603" s="12">
        <v>2400</v>
      </c>
      <c r="L603" s="12">
        <v>12241</v>
      </c>
      <c r="M603" s="11">
        <f>L603*4+AI603-AJ603</f>
        <v>48964</v>
      </c>
      <c r="N603" s="13"/>
      <c r="O603" s="12"/>
      <c r="P603" s="12"/>
      <c r="Q603" s="12"/>
      <c r="R603" s="12"/>
      <c r="S603" s="12"/>
      <c r="T603" s="12"/>
      <c r="U603" s="12"/>
      <c r="V603" s="12">
        <v>12991</v>
      </c>
      <c r="W603" s="12"/>
      <c r="X603" s="12"/>
      <c r="Y603" s="12"/>
      <c r="Z603" s="12"/>
      <c r="AA603" s="12"/>
      <c r="AB603" s="12"/>
      <c r="AC603" s="12"/>
      <c r="AD603" s="12"/>
      <c r="AE603" s="12"/>
      <c r="AF603" s="13">
        <f>H603+I603+J603+K603+M603-N603</f>
        <v>51514</v>
      </c>
      <c r="AG603" s="13">
        <f>SUM(O603:AE603)</f>
        <v>12991</v>
      </c>
      <c r="AH603" s="13">
        <f>AF603-AG603</f>
        <v>38523</v>
      </c>
      <c r="AI603" s="12"/>
      <c r="AJ603" s="12"/>
      <c r="AK603" s="12"/>
    </row>
    <row r="604" spans="1:37">
      <c r="A604" s="10">
        <v>3</v>
      </c>
      <c r="B604" s="11">
        <v>1220</v>
      </c>
      <c r="C604" s="10" t="s">
        <v>633</v>
      </c>
      <c r="D604" s="11" t="s">
        <v>28</v>
      </c>
      <c r="E604" s="11"/>
      <c r="F604" s="10" t="s">
        <v>599</v>
      </c>
      <c r="G604" s="11" t="s">
        <v>62</v>
      </c>
      <c r="H604" s="9"/>
      <c r="I604" s="12"/>
      <c r="J604" s="12">
        <v>150</v>
      </c>
      <c r="K604" s="12">
        <v>2400</v>
      </c>
      <c r="L604" s="12">
        <v>12241</v>
      </c>
      <c r="M604" s="11">
        <f>L604*4+AI604-AJ604</f>
        <v>48964</v>
      </c>
      <c r="N604" s="13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  <c r="AA604" s="12"/>
      <c r="AB604" s="12"/>
      <c r="AC604" s="12"/>
      <c r="AD604" s="12"/>
      <c r="AE604" s="12"/>
      <c r="AF604" s="13">
        <f>H604+I604+J604+K604+M604-N604</f>
        <v>51514</v>
      </c>
      <c r="AG604" s="13">
        <f>SUM(O604:AE604)</f>
        <v>0</v>
      </c>
      <c r="AH604" s="13">
        <f>AF604-AG604</f>
        <v>51514</v>
      </c>
      <c r="AI604" s="12"/>
      <c r="AJ604" s="12"/>
      <c r="AK604" s="12"/>
    </row>
    <row r="605" spans="1:37">
      <c r="A605" s="10">
        <v>4</v>
      </c>
      <c r="B605" s="11">
        <v>1027</v>
      </c>
      <c r="C605" s="10" t="s">
        <v>634</v>
      </c>
      <c r="D605" s="11" t="s">
        <v>23</v>
      </c>
      <c r="E605" s="11"/>
      <c r="F605" s="10" t="s">
        <v>599</v>
      </c>
      <c r="G605" s="11" t="s">
        <v>62</v>
      </c>
      <c r="H605" s="9"/>
      <c r="I605" s="12"/>
      <c r="J605" s="12">
        <v>150</v>
      </c>
      <c r="K605" s="12">
        <v>2400</v>
      </c>
      <c r="L605" s="12">
        <v>12241</v>
      </c>
      <c r="M605" s="11">
        <f>L605*4+AI605-AJ605</f>
        <v>48964</v>
      </c>
      <c r="N605" s="13"/>
      <c r="O605" s="12"/>
      <c r="P605" s="12"/>
      <c r="Q605" s="12"/>
      <c r="R605" s="12"/>
      <c r="S605" s="12"/>
      <c r="T605" s="12"/>
      <c r="U605" s="12">
        <v>12991</v>
      </c>
      <c r="V605" s="12"/>
      <c r="W605" s="12"/>
      <c r="X605" s="12"/>
      <c r="Y605" s="12"/>
      <c r="Z605" s="12"/>
      <c r="AA605" s="12"/>
      <c r="AB605" s="12"/>
      <c r="AC605" s="12"/>
      <c r="AD605" s="12"/>
      <c r="AE605" s="12"/>
      <c r="AF605" s="13">
        <f>H605+I605+J605+K605+M605-N605</f>
        <v>51514</v>
      </c>
      <c r="AG605" s="13">
        <f>SUM(O605:AE605)</f>
        <v>12991</v>
      </c>
      <c r="AH605" s="13">
        <f>AF605-AG605</f>
        <v>38523</v>
      </c>
      <c r="AI605" s="12"/>
      <c r="AJ605" s="12"/>
      <c r="AK605" s="12"/>
    </row>
    <row r="606" spans="1:37">
      <c r="A606" s="10">
        <v>5</v>
      </c>
      <c r="B606" s="11">
        <v>1467</v>
      </c>
      <c r="C606" s="10" t="s">
        <v>635</v>
      </c>
      <c r="D606" s="11" t="s">
        <v>23</v>
      </c>
      <c r="E606" s="11"/>
      <c r="F606" s="10" t="s">
        <v>599</v>
      </c>
      <c r="G606" s="11" t="s">
        <v>62</v>
      </c>
      <c r="H606" s="9"/>
      <c r="I606" s="12"/>
      <c r="J606" s="12">
        <v>150</v>
      </c>
      <c r="K606" s="12">
        <v>2400</v>
      </c>
      <c r="L606" s="12">
        <v>12241</v>
      </c>
      <c r="M606" s="11">
        <f>L606*4+AI606-AJ606</f>
        <v>48964</v>
      </c>
      <c r="N606" s="13"/>
      <c r="O606" s="12"/>
      <c r="P606" s="12"/>
      <c r="Q606" s="12"/>
      <c r="R606" s="12"/>
      <c r="S606" s="12">
        <v>12991</v>
      </c>
      <c r="T606" s="12"/>
      <c r="U606" s="12"/>
      <c r="V606" s="12"/>
      <c r="W606" s="12"/>
      <c r="X606" s="12"/>
      <c r="Y606" s="12"/>
      <c r="Z606" s="12"/>
      <c r="AA606" s="12"/>
      <c r="AB606" s="12"/>
      <c r="AC606" s="12"/>
      <c r="AD606" s="12"/>
      <c r="AE606" s="12"/>
      <c r="AF606" s="13">
        <f>H606+I606+J606+K606+M606-N606</f>
        <v>51514</v>
      </c>
      <c r="AG606" s="13">
        <f>SUM(O606:AE606)</f>
        <v>12991</v>
      </c>
      <c r="AH606" s="13">
        <f>AF606-AG606</f>
        <v>38523</v>
      </c>
      <c r="AI606" s="12"/>
      <c r="AJ606" s="12"/>
      <c r="AK606" s="12"/>
    </row>
    <row r="607" spans="1:37">
      <c r="A607" s="10">
        <v>6</v>
      </c>
      <c r="B607" s="11">
        <v>1004</v>
      </c>
      <c r="C607" s="10" t="s">
        <v>636</v>
      </c>
      <c r="D607" s="11" t="s">
        <v>28</v>
      </c>
      <c r="E607" s="11"/>
      <c r="F607" s="10" t="s">
        <v>599</v>
      </c>
      <c r="G607" s="11" t="s">
        <v>62</v>
      </c>
      <c r="H607" s="9"/>
      <c r="I607" s="12"/>
      <c r="J607" s="12">
        <v>150</v>
      </c>
      <c r="K607" s="12">
        <v>2400</v>
      </c>
      <c r="L607" s="12">
        <v>12241</v>
      </c>
      <c r="M607" s="11">
        <f>L607*4+AI607-AJ607</f>
        <v>48964</v>
      </c>
      <c r="N607" s="13"/>
      <c r="O607" s="12"/>
      <c r="P607" s="12"/>
      <c r="Q607" s="12"/>
      <c r="R607" s="12"/>
      <c r="S607" s="12">
        <v>12991</v>
      </c>
      <c r="T607" s="12"/>
      <c r="U607" s="12">
        <v>12995</v>
      </c>
      <c r="V607" s="12"/>
      <c r="W607" s="12"/>
      <c r="X607" s="12"/>
      <c r="Y607" s="12"/>
      <c r="Z607" s="12"/>
      <c r="AA607" s="12"/>
      <c r="AB607" s="12"/>
      <c r="AC607" s="12"/>
      <c r="AD607" s="12"/>
      <c r="AE607" s="12"/>
      <c r="AF607" s="13">
        <f>H607+I607+J607+K607+M607-N607</f>
        <v>51514</v>
      </c>
      <c r="AG607" s="13">
        <f>SUM(O607:AE607)</f>
        <v>25986</v>
      </c>
      <c r="AH607" s="13">
        <f>AF607-AG607</f>
        <v>25528</v>
      </c>
      <c r="AI607" s="12"/>
      <c r="AJ607" s="12"/>
      <c r="AK607" s="12"/>
    </row>
    <row r="608" spans="1:37">
      <c r="A608" s="10">
        <v>7</v>
      </c>
      <c r="B608" s="11">
        <v>1473</v>
      </c>
      <c r="C608" s="10" t="s">
        <v>637</v>
      </c>
      <c r="D608" s="11" t="s">
        <v>28</v>
      </c>
      <c r="E608" s="11"/>
      <c r="F608" s="10" t="s">
        <v>599</v>
      </c>
      <c r="G608" s="11" t="s">
        <v>62</v>
      </c>
      <c r="H608" s="9"/>
      <c r="I608" s="12"/>
      <c r="J608" s="12">
        <v>150</v>
      </c>
      <c r="K608" s="12">
        <v>2400</v>
      </c>
      <c r="L608" s="12">
        <v>12241</v>
      </c>
      <c r="M608" s="11">
        <f>L608*4+AI608-AJ608</f>
        <v>48964</v>
      </c>
      <c r="N608" s="13"/>
      <c r="O608" s="12"/>
      <c r="P608" s="12"/>
      <c r="Q608" s="12"/>
      <c r="R608" s="12"/>
      <c r="S608" s="12">
        <v>12991</v>
      </c>
      <c r="T608" s="12"/>
      <c r="U608" s="12"/>
      <c r="V608" s="12"/>
      <c r="W608" s="12"/>
      <c r="X608" s="12"/>
      <c r="Y608" s="12"/>
      <c r="Z608" s="12"/>
      <c r="AA608" s="12"/>
      <c r="AB608" s="12"/>
      <c r="AC608" s="12"/>
      <c r="AD608" s="12"/>
      <c r="AE608" s="12"/>
      <c r="AF608" s="13">
        <f>H608+I608+J608+K608+M608-N608</f>
        <v>51514</v>
      </c>
      <c r="AG608" s="13">
        <f>SUM(O608:AE608)</f>
        <v>12991</v>
      </c>
      <c r="AH608" s="13">
        <f>AF608-AG608</f>
        <v>38523</v>
      </c>
      <c r="AI608" s="12"/>
      <c r="AJ608" s="12"/>
      <c r="AK608" s="12"/>
    </row>
    <row r="609" spans="1:37">
      <c r="A609" s="10">
        <v>8</v>
      </c>
      <c r="B609" s="11">
        <v>1880</v>
      </c>
      <c r="C609" s="10" t="s">
        <v>638</v>
      </c>
      <c r="D609" s="11" t="s">
        <v>23</v>
      </c>
      <c r="E609" s="11"/>
      <c r="F609" s="10" t="s">
        <v>599</v>
      </c>
      <c r="G609" s="11" t="s">
        <v>62</v>
      </c>
      <c r="H609" s="9"/>
      <c r="I609" s="12"/>
      <c r="J609" s="12">
        <v>150</v>
      </c>
      <c r="K609" s="12">
        <v>2400</v>
      </c>
      <c r="L609" s="12">
        <v>12241</v>
      </c>
      <c r="M609" s="11">
        <f>L609*4+AI609-AJ609</f>
        <v>48964</v>
      </c>
      <c r="N609" s="13">
        <v>2448</v>
      </c>
      <c r="O609" s="12"/>
      <c r="P609" s="12"/>
      <c r="Q609" s="12"/>
      <c r="R609" s="12"/>
      <c r="S609" s="12"/>
      <c r="T609" s="12">
        <v>49066</v>
      </c>
      <c r="U609" s="12"/>
      <c r="V609" s="12"/>
      <c r="W609" s="12"/>
      <c r="X609" s="12"/>
      <c r="Y609" s="12"/>
      <c r="Z609" s="12"/>
      <c r="AA609" s="12"/>
      <c r="AB609" s="12"/>
      <c r="AC609" s="12"/>
      <c r="AD609" s="12"/>
      <c r="AE609" s="12"/>
      <c r="AF609" s="13">
        <f>H609+I609+J609+K609+M609-N609</f>
        <v>49066</v>
      </c>
      <c r="AG609" s="13">
        <f>SUM(O609:AE609)</f>
        <v>49066</v>
      </c>
      <c r="AH609" s="13">
        <f>AF609-AG609</f>
        <v>0</v>
      </c>
      <c r="AI609" s="12"/>
      <c r="AJ609" s="12"/>
      <c r="AK609" s="12"/>
    </row>
    <row r="610" spans="1:37">
      <c r="A610" s="10">
        <v>9</v>
      </c>
      <c r="B610" s="11">
        <v>1884</v>
      </c>
      <c r="C610" s="10" t="s">
        <v>639</v>
      </c>
      <c r="D610" s="11" t="s">
        <v>23</v>
      </c>
      <c r="E610" s="11"/>
      <c r="F610" s="10" t="s">
        <v>599</v>
      </c>
      <c r="G610" s="11" t="s">
        <v>62</v>
      </c>
      <c r="H610" s="9"/>
      <c r="I610" s="12"/>
      <c r="J610" s="12">
        <v>150</v>
      </c>
      <c r="K610" s="12">
        <v>2400</v>
      </c>
      <c r="L610" s="12">
        <v>12241</v>
      </c>
      <c r="M610" s="11">
        <f>L610*4+AI610-AJ610</f>
        <v>48964</v>
      </c>
      <c r="N610" s="13"/>
      <c r="O610" s="12"/>
      <c r="P610" s="12"/>
      <c r="Q610" s="12"/>
      <c r="R610" s="12"/>
      <c r="S610" s="12"/>
      <c r="T610" s="12"/>
      <c r="U610" s="12">
        <v>12991</v>
      </c>
      <c r="V610" s="12"/>
      <c r="W610" s="12"/>
      <c r="X610" s="12"/>
      <c r="Y610" s="12"/>
      <c r="Z610" s="12"/>
      <c r="AA610" s="12"/>
      <c r="AB610" s="12"/>
      <c r="AC610" s="12"/>
      <c r="AD610" s="12"/>
      <c r="AE610" s="12"/>
      <c r="AF610" s="13">
        <f>H610+I610+J610+K610+M610-N610</f>
        <v>51514</v>
      </c>
      <c r="AG610" s="13">
        <f>SUM(O610:AE610)</f>
        <v>12991</v>
      </c>
      <c r="AH610" s="13">
        <f>AF610-AG610</f>
        <v>38523</v>
      </c>
      <c r="AI610" s="12"/>
      <c r="AJ610" s="12"/>
      <c r="AK610" s="12"/>
    </row>
    <row r="611" spans="1:37">
      <c r="A611" s="10">
        <v>10</v>
      </c>
      <c r="B611" s="11">
        <v>1337</v>
      </c>
      <c r="C611" s="10" t="s">
        <v>640</v>
      </c>
      <c r="D611" s="11" t="s">
        <v>28</v>
      </c>
      <c r="E611" s="11"/>
      <c r="F611" s="10" t="s">
        <v>599</v>
      </c>
      <c r="G611" s="11" t="s">
        <v>62</v>
      </c>
      <c r="H611" s="9"/>
      <c r="I611" s="12"/>
      <c r="J611" s="12">
        <v>150</v>
      </c>
      <c r="K611" s="12">
        <v>2400</v>
      </c>
      <c r="L611" s="12">
        <v>12241</v>
      </c>
      <c r="M611" s="11">
        <f>L611*4+AI611-AJ611</f>
        <v>48964</v>
      </c>
      <c r="N611" s="13"/>
      <c r="O611" s="12"/>
      <c r="P611" s="12"/>
      <c r="Q611" s="12"/>
      <c r="R611" s="12"/>
      <c r="S611" s="12"/>
      <c r="T611" s="12">
        <v>12991</v>
      </c>
      <c r="U611" s="12"/>
      <c r="V611" s="12"/>
      <c r="W611" s="12"/>
      <c r="X611" s="12"/>
      <c r="Y611" s="12"/>
      <c r="Z611" s="12"/>
      <c r="AA611" s="12"/>
      <c r="AB611" s="12"/>
      <c r="AC611" s="12"/>
      <c r="AD611" s="12"/>
      <c r="AE611" s="12"/>
      <c r="AF611" s="13">
        <f>H611+I611+J611+K611+M611-N611</f>
        <v>51514</v>
      </c>
      <c r="AG611" s="13">
        <f>SUM(O611:AE611)</f>
        <v>12991</v>
      </c>
      <c r="AH611" s="13">
        <f>AF611-AG611</f>
        <v>38523</v>
      </c>
      <c r="AI611" s="12"/>
      <c r="AJ611" s="12"/>
      <c r="AK611" s="12"/>
    </row>
    <row r="612" spans="1:37">
      <c r="A612" s="10">
        <v>11</v>
      </c>
      <c r="B612" s="11">
        <v>1369</v>
      </c>
      <c r="C612" s="10" t="s">
        <v>641</v>
      </c>
      <c r="D612" s="11" t="s">
        <v>28</v>
      </c>
      <c r="E612" s="11"/>
      <c r="F612" s="10" t="s">
        <v>599</v>
      </c>
      <c r="G612" s="11" t="s">
        <v>62</v>
      </c>
      <c r="H612" s="9"/>
      <c r="I612" s="12"/>
      <c r="J612" s="12">
        <v>150</v>
      </c>
      <c r="K612" s="12">
        <v>2400</v>
      </c>
      <c r="L612" s="12">
        <v>12241</v>
      </c>
      <c r="M612" s="11">
        <f>L612*4+AI612-AJ612</f>
        <v>48964</v>
      </c>
      <c r="N612" s="13"/>
      <c r="O612" s="12"/>
      <c r="P612" s="12"/>
      <c r="Q612" s="12"/>
      <c r="R612" s="12"/>
      <c r="S612" s="12"/>
      <c r="T612" s="12">
        <v>12991</v>
      </c>
      <c r="U612" s="12"/>
      <c r="V612" s="12"/>
      <c r="W612" s="12"/>
      <c r="X612" s="12"/>
      <c r="Y612" s="12"/>
      <c r="Z612" s="12"/>
      <c r="AA612" s="12"/>
      <c r="AB612" s="12"/>
      <c r="AC612" s="12"/>
      <c r="AD612" s="12"/>
      <c r="AE612" s="12"/>
      <c r="AF612" s="13">
        <f>H612+I612+J612+K612+M612-N612</f>
        <v>51514</v>
      </c>
      <c r="AG612" s="13">
        <f>SUM(O612:AE612)</f>
        <v>12991</v>
      </c>
      <c r="AH612" s="13">
        <f>AF612-AG612</f>
        <v>38523</v>
      </c>
      <c r="AI612" s="12"/>
      <c r="AJ612" s="12"/>
      <c r="AK612" s="12"/>
    </row>
    <row r="613" spans="1:37">
      <c r="A613" s="10">
        <v>12</v>
      </c>
      <c r="B613" s="16">
        <v>2088</v>
      </c>
      <c r="C613" s="16" t="s">
        <v>642</v>
      </c>
      <c r="D613" s="16" t="s">
        <v>28</v>
      </c>
      <c r="E613" s="16"/>
      <c r="F613" s="10" t="s">
        <v>599</v>
      </c>
      <c r="G613" s="12" t="s">
        <v>62</v>
      </c>
      <c r="H613" s="9"/>
      <c r="I613" s="12"/>
      <c r="J613" s="12">
        <v>150</v>
      </c>
      <c r="K613" s="12">
        <v>2400</v>
      </c>
      <c r="L613" s="12">
        <v>12241</v>
      </c>
      <c r="M613" s="11">
        <f>L613*4+AI613-AJ613</f>
        <v>48964</v>
      </c>
      <c r="N613" s="13"/>
      <c r="O613" s="9"/>
      <c r="P613" s="12"/>
      <c r="Q613" s="12"/>
      <c r="R613" s="12"/>
      <c r="S613" s="12">
        <v>12991</v>
      </c>
      <c r="T613" s="12"/>
      <c r="U613" s="12"/>
      <c r="V613" s="12">
        <v>12841</v>
      </c>
      <c r="W613" s="12"/>
      <c r="X613" s="12"/>
      <c r="Y613" s="12"/>
      <c r="Z613" s="12"/>
      <c r="AA613" s="12"/>
      <c r="AB613" s="12"/>
      <c r="AC613" s="12"/>
      <c r="AD613" s="12"/>
      <c r="AE613" s="12"/>
      <c r="AF613" s="13">
        <f>H613+I613+J613+K613+M613-N613</f>
        <v>51514</v>
      </c>
      <c r="AG613" s="13">
        <f>SUM(O613:AE613)</f>
        <v>25832</v>
      </c>
      <c r="AH613" s="13">
        <f>AF613-AG613</f>
        <v>25682</v>
      </c>
      <c r="AI613" s="12"/>
      <c r="AJ613" s="12"/>
      <c r="AK613" s="12"/>
    </row>
    <row r="614" spans="1:37">
      <c r="A614" s="10">
        <v>13</v>
      </c>
      <c r="B614" s="11">
        <v>1889</v>
      </c>
      <c r="C614" s="10" t="s">
        <v>643</v>
      </c>
      <c r="D614" s="11" t="s">
        <v>28</v>
      </c>
      <c r="E614" s="11"/>
      <c r="F614" s="10" t="s">
        <v>599</v>
      </c>
      <c r="G614" s="11" t="s">
        <v>62</v>
      </c>
      <c r="H614" s="9"/>
      <c r="I614" s="12"/>
      <c r="J614" s="12">
        <v>150</v>
      </c>
      <c r="K614" s="12">
        <v>2400</v>
      </c>
      <c r="L614" s="12">
        <v>12241</v>
      </c>
      <c r="M614" s="11">
        <f>L614*4+AI614-AJ614</f>
        <v>48964</v>
      </c>
      <c r="N614" s="13"/>
      <c r="O614" s="12"/>
      <c r="P614" s="12"/>
      <c r="Q614" s="12"/>
      <c r="R614" s="12"/>
      <c r="S614" s="12">
        <v>12991</v>
      </c>
      <c r="T614" s="12"/>
      <c r="U614" s="12"/>
      <c r="V614" s="12"/>
      <c r="W614" s="12"/>
      <c r="X614" s="12"/>
      <c r="Y614" s="12"/>
      <c r="Z614" s="12"/>
      <c r="AA614" s="12"/>
      <c r="AB614" s="12"/>
      <c r="AC614" s="12"/>
      <c r="AD614" s="12"/>
      <c r="AE614" s="12"/>
      <c r="AF614" s="13">
        <f>H614+I614+J614+K614+M614-N614</f>
        <v>51514</v>
      </c>
      <c r="AG614" s="13">
        <f>SUM(O614:AE614)</f>
        <v>12991</v>
      </c>
      <c r="AH614" s="13">
        <f>AF614-AG614</f>
        <v>38523</v>
      </c>
      <c r="AI614" s="12"/>
      <c r="AJ614" s="12"/>
      <c r="AK614" s="12"/>
    </row>
    <row r="615" spans="1:37">
      <c r="A615" s="10">
        <v>14</v>
      </c>
      <c r="B615" s="11">
        <v>1206</v>
      </c>
      <c r="C615" s="10" t="s">
        <v>644</v>
      </c>
      <c r="D615" s="11" t="s">
        <v>23</v>
      </c>
      <c r="E615" s="11"/>
      <c r="F615" s="10" t="s">
        <v>599</v>
      </c>
      <c r="G615" s="11" t="s">
        <v>62</v>
      </c>
      <c r="H615" s="9"/>
      <c r="I615" s="12"/>
      <c r="J615" s="12">
        <v>150</v>
      </c>
      <c r="K615" s="12">
        <v>2400</v>
      </c>
      <c r="L615" s="12">
        <v>12241</v>
      </c>
      <c r="M615" s="11">
        <f>L615*4+AI615-AJ615</f>
        <v>48964</v>
      </c>
      <c r="N615" s="13"/>
      <c r="O615" s="12"/>
      <c r="P615" s="12"/>
      <c r="Q615" s="12"/>
      <c r="R615" s="12"/>
      <c r="S615" s="12">
        <v>12991</v>
      </c>
      <c r="T615" s="12"/>
      <c r="U615" s="12"/>
      <c r="V615" s="12"/>
      <c r="W615" s="12"/>
      <c r="X615" s="12"/>
      <c r="Y615" s="12"/>
      <c r="Z615" s="12"/>
      <c r="AA615" s="12"/>
      <c r="AB615" s="12"/>
      <c r="AC615" s="12"/>
      <c r="AD615" s="12"/>
      <c r="AE615" s="12"/>
      <c r="AF615" s="13">
        <f>H615+I615+J615+K615+M615-N615</f>
        <v>51514</v>
      </c>
      <c r="AG615" s="13">
        <f>SUM(O615:AE615)</f>
        <v>12991</v>
      </c>
      <c r="AH615" s="13">
        <f>AF615-AG615</f>
        <v>38523</v>
      </c>
      <c r="AI615" s="12"/>
      <c r="AJ615" s="12"/>
      <c r="AK615" s="12"/>
    </row>
    <row r="616" spans="1:37">
      <c r="A616" s="10">
        <v>15</v>
      </c>
      <c r="B616" s="11">
        <v>1543</v>
      </c>
      <c r="C616" s="10" t="s">
        <v>645</v>
      </c>
      <c r="D616" s="11" t="s">
        <v>28</v>
      </c>
      <c r="E616" s="11"/>
      <c r="F616" s="10" t="s">
        <v>599</v>
      </c>
      <c r="G616" s="11" t="s">
        <v>62</v>
      </c>
      <c r="H616" s="9"/>
      <c r="I616" s="12"/>
      <c r="J616" s="12">
        <v>150</v>
      </c>
      <c r="K616" s="12">
        <v>2400</v>
      </c>
      <c r="L616" s="12">
        <v>12241</v>
      </c>
      <c r="M616" s="11">
        <f>L616*4+AI616-AJ616</f>
        <v>48394</v>
      </c>
      <c r="N616" s="13">
        <v>2448</v>
      </c>
      <c r="O616" s="12"/>
      <c r="P616" s="12"/>
      <c r="Q616" s="12"/>
      <c r="R616" s="12"/>
      <c r="S616" s="12">
        <v>49066</v>
      </c>
      <c r="T616" s="12"/>
      <c r="U616" s="12"/>
      <c r="V616" s="12"/>
      <c r="W616" s="12"/>
      <c r="X616" s="12"/>
      <c r="Y616" s="12"/>
      <c r="Z616" s="12"/>
      <c r="AA616" s="12"/>
      <c r="AB616" s="12"/>
      <c r="AC616" s="12"/>
      <c r="AD616" s="12"/>
      <c r="AE616" s="12"/>
      <c r="AF616" s="13">
        <f>H616+I616+J616+K616+M616-N616</f>
        <v>48496</v>
      </c>
      <c r="AG616" s="13">
        <f>SUM(O616:AE616)</f>
        <v>49066</v>
      </c>
      <c r="AH616" s="13">
        <f>AF616-AG616</f>
        <v>-570</v>
      </c>
      <c r="AI616" s="12"/>
      <c r="AJ616" s="12">
        <v>570</v>
      </c>
      <c r="AK616" s="12"/>
    </row>
    <row r="617" spans="1:37">
      <c r="A617" s="10">
        <v>16</v>
      </c>
      <c r="B617" s="11">
        <v>1301</v>
      </c>
      <c r="C617" s="10" t="s">
        <v>646</v>
      </c>
      <c r="D617" s="11" t="s">
        <v>23</v>
      </c>
      <c r="E617" s="11"/>
      <c r="F617" s="10" t="s">
        <v>599</v>
      </c>
      <c r="G617" s="11" t="s">
        <v>62</v>
      </c>
      <c r="H617" s="9"/>
      <c r="I617" s="12"/>
      <c r="J617" s="12">
        <v>150</v>
      </c>
      <c r="K617" s="12">
        <v>2400</v>
      </c>
      <c r="L617" s="12">
        <v>12241</v>
      </c>
      <c r="M617" s="11">
        <f>L617*4+AI617-AJ617</f>
        <v>48964</v>
      </c>
      <c r="N617" s="13"/>
      <c r="O617" s="12"/>
      <c r="P617" s="12"/>
      <c r="Q617" s="12"/>
      <c r="R617" s="12"/>
      <c r="S617" s="12"/>
      <c r="T617" s="11">
        <f>2000+10991</f>
        <v>12991</v>
      </c>
      <c r="U617" s="12"/>
      <c r="V617" s="12"/>
      <c r="W617" s="12"/>
      <c r="X617" s="12"/>
      <c r="Y617" s="12"/>
      <c r="Z617" s="12"/>
      <c r="AA617" s="12"/>
      <c r="AB617" s="12"/>
      <c r="AC617" s="12"/>
      <c r="AD617" s="12"/>
      <c r="AE617" s="12"/>
      <c r="AF617" s="13">
        <f>H617+I617+J617+K617+M617-N617</f>
        <v>51514</v>
      </c>
      <c r="AG617" s="13">
        <f>SUM(O617:AE617)</f>
        <v>12991</v>
      </c>
      <c r="AH617" s="13">
        <f>AF617-AG617</f>
        <v>38523</v>
      </c>
      <c r="AI617" s="12"/>
      <c r="AJ617" s="12"/>
      <c r="AK617" s="12"/>
    </row>
    <row r="618" spans="1:37">
      <c r="A618" s="10">
        <v>17</v>
      </c>
      <c r="B618" s="11">
        <v>1149</v>
      </c>
      <c r="C618" s="10" t="s">
        <v>647</v>
      </c>
      <c r="D618" s="11" t="s">
        <v>23</v>
      </c>
      <c r="E618" s="11"/>
      <c r="F618" s="10" t="s">
        <v>599</v>
      </c>
      <c r="G618" s="11" t="s">
        <v>62</v>
      </c>
      <c r="H618" s="9"/>
      <c r="I618" s="12"/>
      <c r="J618" s="12">
        <v>150</v>
      </c>
      <c r="K618" s="12">
        <v>2400</v>
      </c>
      <c r="L618" s="12">
        <v>12241</v>
      </c>
      <c r="M618" s="11">
        <f>L618*4+AI618-AJ618</f>
        <v>48964</v>
      </c>
      <c r="N618" s="13"/>
      <c r="O618" s="12"/>
      <c r="P618" s="12"/>
      <c r="Q618" s="12"/>
      <c r="R618" s="12"/>
      <c r="S618" s="12"/>
      <c r="T618" s="12">
        <v>12991</v>
      </c>
      <c r="U618" s="12"/>
      <c r="V618" s="12"/>
      <c r="W618" s="12"/>
      <c r="X618" s="12"/>
      <c r="Y618" s="12"/>
      <c r="Z618" s="12"/>
      <c r="AA618" s="12"/>
      <c r="AB618" s="12"/>
      <c r="AC618" s="12"/>
      <c r="AD618" s="12"/>
      <c r="AE618" s="12"/>
      <c r="AF618" s="13">
        <f>H618+I618+J618+K618+M618-N618</f>
        <v>51514</v>
      </c>
      <c r="AG618" s="13">
        <f>SUM(O618:AE618)</f>
        <v>12991</v>
      </c>
      <c r="AH618" s="13">
        <f>AF618-AG618</f>
        <v>38523</v>
      </c>
      <c r="AI618" s="12"/>
      <c r="AJ618" s="12"/>
      <c r="AK618" s="12"/>
    </row>
    <row r="619" spans="1:37">
      <c r="A619" s="10">
        <v>18</v>
      </c>
      <c r="B619" s="11">
        <v>1436</v>
      </c>
      <c r="C619" s="10" t="s">
        <v>648</v>
      </c>
      <c r="D619" s="11" t="s">
        <v>23</v>
      </c>
      <c r="E619" s="11"/>
      <c r="F619" s="10" t="s">
        <v>599</v>
      </c>
      <c r="G619" s="11" t="s">
        <v>62</v>
      </c>
      <c r="H619" s="9"/>
      <c r="I619" s="12"/>
      <c r="J619" s="12">
        <v>150</v>
      </c>
      <c r="K619" s="12">
        <v>2400</v>
      </c>
      <c r="L619" s="12">
        <v>12241</v>
      </c>
      <c r="M619" s="11">
        <f>L619*4+AI619-AJ619</f>
        <v>48964</v>
      </c>
      <c r="N619" s="13"/>
      <c r="O619" s="12"/>
      <c r="P619" s="12"/>
      <c r="Q619" s="12"/>
      <c r="R619" s="12"/>
      <c r="S619" s="12">
        <v>12991</v>
      </c>
      <c r="T619" s="12"/>
      <c r="U619" s="12"/>
      <c r="V619" s="12">
        <v>12841</v>
      </c>
      <c r="W619" s="12"/>
      <c r="X619" s="12"/>
      <c r="Y619" s="12"/>
      <c r="Z619" s="12"/>
      <c r="AA619" s="12"/>
      <c r="AB619" s="12"/>
      <c r="AC619" s="12"/>
      <c r="AD619" s="12"/>
      <c r="AE619" s="12"/>
      <c r="AF619" s="13">
        <f>H619+I619+J619+K619+M619-N619</f>
        <v>51514</v>
      </c>
      <c r="AG619" s="13">
        <f>SUM(O619:AE619)</f>
        <v>25832</v>
      </c>
      <c r="AH619" s="13">
        <f>AF619-AG619</f>
        <v>25682</v>
      </c>
      <c r="AI619" s="12"/>
      <c r="AJ619" s="12"/>
      <c r="AK619" s="12"/>
    </row>
    <row r="620" spans="1:37">
      <c r="A620" s="10">
        <v>19</v>
      </c>
      <c r="B620" s="11">
        <v>1014</v>
      </c>
      <c r="C620" s="10" t="s">
        <v>649</v>
      </c>
      <c r="D620" s="11" t="s">
        <v>28</v>
      </c>
      <c r="E620" s="11"/>
      <c r="F620" s="10" t="s">
        <v>599</v>
      </c>
      <c r="G620" s="11" t="s">
        <v>62</v>
      </c>
      <c r="H620" s="9"/>
      <c r="I620" s="12"/>
      <c r="J620" s="12">
        <v>150</v>
      </c>
      <c r="K620" s="12">
        <v>2400</v>
      </c>
      <c r="L620" s="12">
        <v>12241</v>
      </c>
      <c r="M620" s="11">
        <f>L620*4+AI620-AJ620</f>
        <v>48964</v>
      </c>
      <c r="N620" s="13"/>
      <c r="O620" s="12"/>
      <c r="P620" s="12"/>
      <c r="Q620" s="12"/>
      <c r="R620" s="12"/>
      <c r="S620" s="12"/>
      <c r="T620" s="12"/>
      <c r="U620" s="12">
        <v>12990</v>
      </c>
      <c r="V620" s="12">
        <v>13000</v>
      </c>
      <c r="W620" s="12"/>
      <c r="X620" s="12"/>
      <c r="Y620" s="12"/>
      <c r="Z620" s="12"/>
      <c r="AA620" s="12"/>
      <c r="AB620" s="12"/>
      <c r="AC620" s="12"/>
      <c r="AD620" s="12"/>
      <c r="AE620" s="12"/>
      <c r="AF620" s="13">
        <f>H620+I620+J620+K620+M620-N620</f>
        <v>51514</v>
      </c>
      <c r="AG620" s="13">
        <f>SUM(O620:AE620)</f>
        <v>25990</v>
      </c>
      <c r="AH620" s="13">
        <f>AF620-AG620</f>
        <v>25524</v>
      </c>
      <c r="AI620" s="12"/>
      <c r="AJ620" s="12"/>
      <c r="AK620" s="12"/>
    </row>
    <row r="621" spans="1:37">
      <c r="A621" s="10">
        <v>20</v>
      </c>
      <c r="B621" s="11">
        <v>1034</v>
      </c>
      <c r="C621" s="10" t="s">
        <v>650</v>
      </c>
      <c r="D621" s="11" t="s">
        <v>28</v>
      </c>
      <c r="E621" s="11"/>
      <c r="F621" s="10" t="s">
        <v>599</v>
      </c>
      <c r="G621" s="11" t="s">
        <v>62</v>
      </c>
      <c r="H621" s="9"/>
      <c r="I621" s="12"/>
      <c r="J621" s="12">
        <v>150</v>
      </c>
      <c r="K621" s="12">
        <v>2400</v>
      </c>
      <c r="L621" s="12">
        <v>12241</v>
      </c>
      <c r="M621" s="11">
        <f>L621*4+AI621-AJ621</f>
        <v>48964</v>
      </c>
      <c r="N621" s="13">
        <v>2448</v>
      </c>
      <c r="O621" s="12"/>
      <c r="P621" s="12"/>
      <c r="Q621" s="12"/>
      <c r="R621" s="12"/>
      <c r="S621" s="12">
        <v>49066</v>
      </c>
      <c r="T621" s="12"/>
      <c r="U621" s="12"/>
      <c r="V621" s="12"/>
      <c r="W621" s="12"/>
      <c r="X621" s="12"/>
      <c r="Y621" s="12"/>
      <c r="Z621" s="12"/>
      <c r="AA621" s="12"/>
      <c r="AB621" s="12"/>
      <c r="AC621" s="12"/>
      <c r="AD621" s="12"/>
      <c r="AE621" s="12"/>
      <c r="AF621" s="13">
        <f>H621+I621+J621+K621+M621-N621</f>
        <v>49066</v>
      </c>
      <c r="AG621" s="13">
        <f>SUM(O621:AE621)</f>
        <v>49066</v>
      </c>
      <c r="AH621" s="13">
        <f>AF621-AG621</f>
        <v>0</v>
      </c>
      <c r="AI621" s="12"/>
      <c r="AJ621" s="12"/>
      <c r="AK621" s="12"/>
    </row>
    <row r="622" spans="1:37">
      <c r="A622" s="10">
        <v>21</v>
      </c>
      <c r="B622" s="11">
        <v>1064</v>
      </c>
      <c r="C622" s="10" t="s">
        <v>651</v>
      </c>
      <c r="D622" s="11" t="s">
        <v>23</v>
      </c>
      <c r="E622" s="11"/>
      <c r="F622" s="10" t="s">
        <v>599</v>
      </c>
      <c r="G622" s="11" t="s">
        <v>62</v>
      </c>
      <c r="H622" s="9"/>
      <c r="I622" s="12"/>
      <c r="J622" s="12">
        <v>150</v>
      </c>
      <c r="K622" s="12">
        <v>2400</v>
      </c>
      <c r="L622" s="12">
        <v>12241</v>
      </c>
      <c r="M622" s="11">
        <f>L622*4+AI622-AJ622</f>
        <v>48964</v>
      </c>
      <c r="N622" s="13"/>
      <c r="O622" s="12"/>
      <c r="P622" s="12"/>
      <c r="Q622" s="12"/>
      <c r="R622" s="12"/>
      <c r="S622" s="12">
        <v>12991</v>
      </c>
      <c r="T622" s="12"/>
      <c r="U622" s="12"/>
      <c r="V622" s="12"/>
      <c r="W622" s="12"/>
      <c r="X622" s="12"/>
      <c r="Y622" s="12"/>
      <c r="Z622" s="12"/>
      <c r="AA622" s="12"/>
      <c r="AB622" s="12"/>
      <c r="AC622" s="12"/>
      <c r="AD622" s="12"/>
      <c r="AE622" s="12"/>
      <c r="AF622" s="13">
        <f>H622+I622+J622+K622+M622-N622</f>
        <v>51514</v>
      </c>
      <c r="AG622" s="13">
        <f>SUM(O622:AE622)</f>
        <v>12991</v>
      </c>
      <c r="AH622" s="13">
        <f>AF622-AG622</f>
        <v>38523</v>
      </c>
      <c r="AI622" s="12"/>
      <c r="AJ622" s="12"/>
      <c r="AK622" s="12"/>
    </row>
    <row r="623" spans="1:37">
      <c r="A623" s="10">
        <v>22</v>
      </c>
      <c r="B623" s="11">
        <v>1377</v>
      </c>
      <c r="C623" s="10" t="s">
        <v>652</v>
      </c>
      <c r="D623" s="11" t="s">
        <v>28</v>
      </c>
      <c r="E623" s="11"/>
      <c r="F623" s="10" t="s">
        <v>599</v>
      </c>
      <c r="G623" s="11" t="s">
        <v>62</v>
      </c>
      <c r="H623" s="9"/>
      <c r="I623" s="12"/>
      <c r="J623" s="12">
        <v>150</v>
      </c>
      <c r="K623" s="12">
        <v>2400</v>
      </c>
      <c r="L623" s="12">
        <v>12241</v>
      </c>
      <c r="M623" s="11">
        <f>L623*4+AI623-AJ623</f>
        <v>48964</v>
      </c>
      <c r="N623" s="13"/>
      <c r="O623" s="12"/>
      <c r="P623" s="12"/>
      <c r="Q623" s="12"/>
      <c r="R623" s="12"/>
      <c r="S623" s="12"/>
      <c r="T623" s="12"/>
      <c r="U623" s="12"/>
      <c r="V623" s="12">
        <v>12999</v>
      </c>
      <c r="W623" s="12"/>
      <c r="X623" s="12"/>
      <c r="Y623" s="12"/>
      <c r="Z623" s="12"/>
      <c r="AA623" s="12"/>
      <c r="AB623" s="12"/>
      <c r="AC623" s="12"/>
      <c r="AD623" s="12"/>
      <c r="AE623" s="12"/>
      <c r="AF623" s="13">
        <f>H623+I623+J623+K623+M623-N623</f>
        <v>51514</v>
      </c>
      <c r="AG623" s="13">
        <f>SUM(O623:AE623)</f>
        <v>12999</v>
      </c>
      <c r="AH623" s="13">
        <f>AF623-AG623</f>
        <v>38515</v>
      </c>
      <c r="AI623" s="12"/>
      <c r="AJ623" s="12"/>
      <c r="AK623" s="12"/>
    </row>
    <row r="624" spans="1:37">
      <c r="A624" s="10">
        <v>23</v>
      </c>
      <c r="B624" s="11">
        <v>1116</v>
      </c>
      <c r="C624" s="10" t="s">
        <v>653</v>
      </c>
      <c r="D624" s="11" t="s">
        <v>28</v>
      </c>
      <c r="E624" s="11"/>
      <c r="F624" s="10" t="s">
        <v>599</v>
      </c>
      <c r="G624" s="11" t="s">
        <v>62</v>
      </c>
      <c r="H624" s="9"/>
      <c r="I624" s="12"/>
      <c r="J624" s="12">
        <v>150</v>
      </c>
      <c r="K624" s="12">
        <v>2400</v>
      </c>
      <c r="L624" s="12">
        <v>12241</v>
      </c>
      <c r="M624" s="11">
        <f>L624*4+AI624-AJ624</f>
        <v>48964</v>
      </c>
      <c r="N624" s="13"/>
      <c r="O624" s="12"/>
      <c r="P624" s="12"/>
      <c r="Q624" s="12"/>
      <c r="R624" s="12"/>
      <c r="S624" s="12"/>
      <c r="T624" s="12"/>
      <c r="U624" s="12"/>
      <c r="V624" s="12">
        <v>12841</v>
      </c>
      <c r="W624" s="12"/>
      <c r="X624" s="12"/>
      <c r="Y624" s="12"/>
      <c r="Z624" s="12"/>
      <c r="AA624" s="12"/>
      <c r="AB624" s="12"/>
      <c r="AC624" s="12"/>
      <c r="AD624" s="12"/>
      <c r="AE624" s="12"/>
      <c r="AF624" s="13">
        <f>H624+I624+J624+K624+M624-N624</f>
        <v>51514</v>
      </c>
      <c r="AG624" s="13">
        <f>SUM(O624:AE624)</f>
        <v>12841</v>
      </c>
      <c r="AH624" s="13">
        <f>AF624-AG624</f>
        <v>38673</v>
      </c>
      <c r="AI624" s="12"/>
      <c r="AJ624" s="12"/>
      <c r="AK624" s="12"/>
    </row>
    <row r="625" spans="1:37">
      <c r="A625" s="10">
        <v>24</v>
      </c>
      <c r="B625" s="27">
        <v>1387</v>
      </c>
      <c r="C625" s="26" t="s">
        <v>654</v>
      </c>
      <c r="D625" s="27" t="s">
        <v>23</v>
      </c>
      <c r="E625" s="27"/>
      <c r="F625" s="26" t="s">
        <v>599</v>
      </c>
      <c r="G625" s="27" t="s">
        <v>62</v>
      </c>
      <c r="H625" s="9"/>
      <c r="I625" s="12"/>
      <c r="J625" s="12">
        <v>150</v>
      </c>
      <c r="K625" s="12">
        <v>2400</v>
      </c>
      <c r="L625" s="12">
        <v>6121</v>
      </c>
      <c r="M625" s="11">
        <f>L625*4+AI625-AJ625</f>
        <v>24484</v>
      </c>
      <c r="N625" s="13"/>
      <c r="O625" s="12"/>
      <c r="P625" s="12"/>
      <c r="Q625" s="12"/>
      <c r="R625" s="12"/>
      <c r="S625" s="12"/>
      <c r="T625" s="12">
        <v>6871</v>
      </c>
      <c r="U625" s="12"/>
      <c r="V625" s="12"/>
      <c r="W625" s="12"/>
      <c r="X625" s="12"/>
      <c r="Y625" s="12"/>
      <c r="Z625" s="12"/>
      <c r="AA625" s="12"/>
      <c r="AB625" s="12"/>
      <c r="AC625" s="12"/>
      <c r="AD625" s="12"/>
      <c r="AE625" s="12"/>
      <c r="AF625" s="13">
        <f>H625+I625+J625+K625+M625-N625</f>
        <v>27034</v>
      </c>
      <c r="AG625" s="13">
        <f>SUM(O625:AE625)</f>
        <v>6871</v>
      </c>
      <c r="AH625" s="13">
        <f>AF625-AG625</f>
        <v>20163</v>
      </c>
      <c r="AI625" s="12"/>
      <c r="AJ625" s="12"/>
      <c r="AK625" s="12"/>
    </row>
    <row r="626" spans="1:37">
      <c r="A626" s="10">
        <v>25</v>
      </c>
      <c r="B626" s="11">
        <v>1879</v>
      </c>
      <c r="C626" s="10" t="s">
        <v>655</v>
      </c>
      <c r="D626" s="11" t="s">
        <v>23</v>
      </c>
      <c r="E626" s="11"/>
      <c r="F626" s="10" t="s">
        <v>599</v>
      </c>
      <c r="G626" s="11" t="s">
        <v>62</v>
      </c>
      <c r="H626" s="9"/>
      <c r="I626" s="12"/>
      <c r="J626" s="12">
        <v>150</v>
      </c>
      <c r="K626" s="12">
        <v>2400</v>
      </c>
      <c r="L626" s="12">
        <v>12241</v>
      </c>
      <c r="M626" s="11">
        <f>L626*4+AI626-AJ626</f>
        <v>48964</v>
      </c>
      <c r="N626" s="13"/>
      <c r="O626" s="12"/>
      <c r="P626" s="12"/>
      <c r="Q626" s="12"/>
      <c r="R626" s="12"/>
      <c r="S626" s="12"/>
      <c r="T626" s="12">
        <v>12991</v>
      </c>
      <c r="U626" s="12"/>
      <c r="V626" s="12"/>
      <c r="W626" s="12"/>
      <c r="X626" s="12"/>
      <c r="Y626" s="12"/>
      <c r="Z626" s="12"/>
      <c r="AA626" s="12"/>
      <c r="AB626" s="12"/>
      <c r="AC626" s="12"/>
      <c r="AD626" s="12"/>
      <c r="AE626" s="12"/>
      <c r="AF626" s="13">
        <f>H626+I626+J626+K626+M626-N626</f>
        <v>51514</v>
      </c>
      <c r="AG626" s="13">
        <f>SUM(O626:AE626)</f>
        <v>12991</v>
      </c>
      <c r="AH626" s="13">
        <f>AF626-AG626</f>
        <v>38523</v>
      </c>
      <c r="AI626" s="12"/>
      <c r="AJ626" s="12"/>
      <c r="AK626" s="12"/>
    </row>
    <row r="627" spans="1:37">
      <c r="A627" s="10">
        <v>26</v>
      </c>
      <c r="B627" s="11">
        <v>1154</v>
      </c>
      <c r="C627" s="10" t="s">
        <v>656</v>
      </c>
      <c r="D627" s="11" t="s">
        <v>23</v>
      </c>
      <c r="E627" s="11"/>
      <c r="F627" s="10" t="s">
        <v>599</v>
      </c>
      <c r="G627" s="11" t="s">
        <v>62</v>
      </c>
      <c r="H627" s="9"/>
      <c r="I627" s="12"/>
      <c r="J627" s="12">
        <v>150</v>
      </c>
      <c r="K627" s="12">
        <v>2400</v>
      </c>
      <c r="L627" s="12">
        <v>12241</v>
      </c>
      <c r="M627" s="11">
        <f>L627*4+AI627-AJ627</f>
        <v>48964</v>
      </c>
      <c r="N627" s="13"/>
      <c r="O627" s="12"/>
      <c r="P627" s="12"/>
      <c r="Q627" s="12"/>
      <c r="R627" s="12"/>
      <c r="S627" s="12"/>
      <c r="T627" s="12">
        <v>12991</v>
      </c>
      <c r="U627" s="12"/>
      <c r="V627" s="12"/>
      <c r="W627" s="12"/>
      <c r="X627" s="12"/>
      <c r="Y627" s="12"/>
      <c r="Z627" s="12"/>
      <c r="AA627" s="12"/>
      <c r="AB627" s="12"/>
      <c r="AC627" s="12"/>
      <c r="AD627" s="12"/>
      <c r="AE627" s="12"/>
      <c r="AF627" s="13">
        <f>H627+I627+J627+K627+M627-N627</f>
        <v>51514</v>
      </c>
      <c r="AG627" s="13">
        <f>SUM(O627:AE627)</f>
        <v>12991</v>
      </c>
      <c r="AH627" s="13">
        <f>AF627-AG627</f>
        <v>38523</v>
      </c>
      <c r="AI627" s="12"/>
      <c r="AJ627" s="12"/>
      <c r="AK627" s="12"/>
    </row>
    <row r="628" spans="1:37">
      <c r="A628" s="10">
        <v>27</v>
      </c>
      <c r="B628" s="11">
        <v>1015</v>
      </c>
      <c r="C628" s="10" t="s">
        <v>657</v>
      </c>
      <c r="D628" s="11" t="s">
        <v>28</v>
      </c>
      <c r="E628" s="11"/>
      <c r="F628" s="10" t="s">
        <v>599</v>
      </c>
      <c r="G628" s="11" t="s">
        <v>62</v>
      </c>
      <c r="H628" s="9"/>
      <c r="I628" s="12"/>
      <c r="J628" s="12">
        <v>150</v>
      </c>
      <c r="K628" s="12">
        <v>2400</v>
      </c>
      <c r="L628" s="12">
        <v>12241</v>
      </c>
      <c r="M628" s="11">
        <f>L628*4+AI628-AJ628</f>
        <v>48964</v>
      </c>
      <c r="N628" s="13"/>
      <c r="O628" s="12"/>
      <c r="P628" s="12"/>
      <c r="Q628" s="12"/>
      <c r="R628" s="12"/>
      <c r="S628" s="12">
        <v>38666</v>
      </c>
      <c r="T628" s="12"/>
      <c r="U628" s="12"/>
      <c r="V628" s="12"/>
      <c r="W628" s="12"/>
      <c r="X628" s="12"/>
      <c r="Y628" s="12"/>
      <c r="Z628" s="12"/>
      <c r="AA628" s="12"/>
      <c r="AB628" s="12"/>
      <c r="AC628" s="12"/>
      <c r="AD628" s="12"/>
      <c r="AE628" s="12"/>
      <c r="AF628" s="13">
        <f>H628+I628+J628+K628+M628-N628</f>
        <v>51514</v>
      </c>
      <c r="AG628" s="13">
        <f>SUM(O628:AE628)</f>
        <v>38666</v>
      </c>
      <c r="AH628" s="13">
        <f>AF628-AG628</f>
        <v>12848</v>
      </c>
      <c r="AI628" s="12"/>
      <c r="AJ628" s="12"/>
      <c r="AK628" s="12"/>
    </row>
    <row r="629" spans="1:37">
      <c r="A629" s="10">
        <v>28</v>
      </c>
      <c r="B629" s="11">
        <v>1305</v>
      </c>
      <c r="C629" s="10" t="s">
        <v>658</v>
      </c>
      <c r="D629" s="11" t="s">
        <v>23</v>
      </c>
      <c r="E629" s="11"/>
      <c r="F629" s="10" t="s">
        <v>599</v>
      </c>
      <c r="G629" s="11" t="s">
        <v>62</v>
      </c>
      <c r="H629" s="9"/>
      <c r="I629" s="12"/>
      <c r="J629" s="12">
        <v>150</v>
      </c>
      <c r="K629" s="12">
        <v>2400</v>
      </c>
      <c r="L629" s="12">
        <v>12241</v>
      </c>
      <c r="M629" s="11">
        <f>L629*4+AI629-AJ629</f>
        <v>48964</v>
      </c>
      <c r="N629" s="13"/>
      <c r="O629" s="12"/>
      <c r="P629" s="12"/>
      <c r="Q629" s="12"/>
      <c r="R629" s="12"/>
      <c r="S629" s="12"/>
      <c r="T629" s="12">
        <v>12991</v>
      </c>
      <c r="U629" s="12"/>
      <c r="V629" s="12"/>
      <c r="W629" s="12"/>
      <c r="X629" s="12"/>
      <c r="Y629" s="12"/>
      <c r="Z629" s="12"/>
      <c r="AA629" s="12"/>
      <c r="AB629" s="12"/>
      <c r="AC629" s="12"/>
      <c r="AD629" s="12"/>
      <c r="AE629" s="12"/>
      <c r="AF629" s="13">
        <f>H629+I629+J629+K629+M629-N629</f>
        <v>51514</v>
      </c>
      <c r="AG629" s="13">
        <f>SUM(O629:AE629)</f>
        <v>12991</v>
      </c>
      <c r="AH629" s="13">
        <f>AF629-AG629</f>
        <v>38523</v>
      </c>
      <c r="AI629" s="12"/>
      <c r="AJ629" s="12"/>
      <c r="AK629" s="12"/>
    </row>
    <row r="630" spans="1:37">
      <c r="A630" s="10">
        <v>29</v>
      </c>
      <c r="B630" s="11">
        <v>1115</v>
      </c>
      <c r="C630" s="10" t="s">
        <v>659</v>
      </c>
      <c r="D630" s="11" t="s">
        <v>28</v>
      </c>
      <c r="E630" s="11"/>
      <c r="F630" s="10" t="s">
        <v>599</v>
      </c>
      <c r="G630" s="11" t="s">
        <v>62</v>
      </c>
      <c r="H630" s="9"/>
      <c r="I630" s="12"/>
      <c r="J630" s="12">
        <v>150</v>
      </c>
      <c r="K630" s="12">
        <v>2400</v>
      </c>
      <c r="L630" s="12">
        <v>12241</v>
      </c>
      <c r="M630" s="11">
        <f>L630*4+AI630-AJ630</f>
        <v>48964</v>
      </c>
      <c r="N630" s="13"/>
      <c r="O630" s="12"/>
      <c r="P630" s="12"/>
      <c r="Q630" s="12"/>
      <c r="R630" s="12"/>
      <c r="S630" s="12"/>
      <c r="T630" s="12">
        <v>12991</v>
      </c>
      <c r="U630" s="12"/>
      <c r="V630" s="12"/>
      <c r="W630" s="12"/>
      <c r="X630" s="12"/>
      <c r="Y630" s="12"/>
      <c r="Z630" s="12"/>
      <c r="AA630" s="12"/>
      <c r="AB630" s="12"/>
      <c r="AC630" s="12"/>
      <c r="AD630" s="12"/>
      <c r="AE630" s="12"/>
      <c r="AF630" s="13">
        <f>H630+I630+J630+K630+M630-N630</f>
        <v>51514</v>
      </c>
      <c r="AG630" s="13">
        <f>SUM(O630:AE630)</f>
        <v>12991</v>
      </c>
      <c r="AH630" s="13">
        <f>AF630-AG630</f>
        <v>38523</v>
      </c>
      <c r="AI630" s="12"/>
      <c r="AJ630" s="12"/>
      <c r="AK630" s="12"/>
    </row>
    <row r="631" spans="1:37">
      <c r="A631" s="10">
        <v>30</v>
      </c>
      <c r="B631" s="22">
        <v>2213</v>
      </c>
      <c r="C631" s="21" t="s">
        <v>660</v>
      </c>
      <c r="D631" s="22" t="s">
        <v>28</v>
      </c>
      <c r="E631" s="22" t="s">
        <v>24</v>
      </c>
      <c r="F631" s="21" t="s">
        <v>599</v>
      </c>
      <c r="G631" s="22" t="s">
        <v>62</v>
      </c>
      <c r="H631" s="9">
        <v>5000</v>
      </c>
      <c r="I631" s="12">
        <v>1200</v>
      </c>
      <c r="J631" s="12">
        <v>150</v>
      </c>
      <c r="K631" s="12">
        <v>2400</v>
      </c>
      <c r="L631" s="12">
        <v>12241</v>
      </c>
      <c r="M631" s="11">
        <f>L631*4+AI631-AJ631</f>
        <v>48964</v>
      </c>
      <c r="N631" s="13">
        <v>2448</v>
      </c>
      <c r="O631" s="12">
        <v>5000</v>
      </c>
      <c r="P631" s="12">
        <v>1200</v>
      </c>
      <c r="Q631" s="12"/>
      <c r="R631" s="11">
        <f>12241+150+600</f>
        <v>12991</v>
      </c>
      <c r="S631" s="12">
        <v>37075</v>
      </c>
      <c r="T631" s="12"/>
      <c r="U631" s="12"/>
      <c r="V631" s="12"/>
      <c r="W631" s="12"/>
      <c r="X631" s="12"/>
      <c r="Y631" s="12"/>
      <c r="Z631" s="12"/>
      <c r="AA631" s="12"/>
      <c r="AB631" s="12"/>
      <c r="AC631" s="12"/>
      <c r="AD631" s="12"/>
      <c r="AE631" s="12"/>
      <c r="AF631" s="13">
        <f>H631+I631+J631+K631+M631-N631</f>
        <v>55266</v>
      </c>
      <c r="AG631" s="13">
        <f>SUM(O631:AE631)</f>
        <v>56266</v>
      </c>
      <c r="AH631" s="13">
        <f>AF631-AG631</f>
        <v>-1000</v>
      </c>
      <c r="AI631" s="12"/>
      <c r="AJ631" s="12"/>
      <c r="AK631" s="12"/>
    </row>
    <row r="632" spans="1:37">
      <c r="A632" s="10">
        <v>31</v>
      </c>
      <c r="B632" s="11">
        <v>1143</v>
      </c>
      <c r="C632" s="10" t="s">
        <v>661</v>
      </c>
      <c r="D632" s="11" t="s">
        <v>28</v>
      </c>
      <c r="E632" s="11"/>
      <c r="F632" s="10" t="s">
        <v>599</v>
      </c>
      <c r="G632" s="11" t="s">
        <v>62</v>
      </c>
      <c r="H632" s="9"/>
      <c r="I632" s="12"/>
      <c r="J632" s="12">
        <v>150</v>
      </c>
      <c r="K632" s="12">
        <v>2400</v>
      </c>
      <c r="L632" s="12">
        <v>12241</v>
      </c>
      <c r="M632" s="11">
        <f>L632*4+AI632-AJ632</f>
        <v>48964</v>
      </c>
      <c r="N632" s="13"/>
      <c r="O632" s="12"/>
      <c r="P632" s="12"/>
      <c r="Q632" s="12"/>
      <c r="R632" s="12"/>
      <c r="S632" s="12"/>
      <c r="T632" s="12">
        <v>12991</v>
      </c>
      <c r="U632" s="12"/>
      <c r="V632" s="12"/>
      <c r="W632" s="12"/>
      <c r="X632" s="12"/>
      <c r="Y632" s="12"/>
      <c r="Z632" s="12"/>
      <c r="AA632" s="12"/>
      <c r="AB632" s="12"/>
      <c r="AC632" s="12"/>
      <c r="AD632" s="12"/>
      <c r="AE632" s="12"/>
      <c r="AF632" s="13">
        <f>H632+I632+J632+K632+M632-N632</f>
        <v>51514</v>
      </c>
      <c r="AG632" s="13">
        <f>SUM(O632:AE632)</f>
        <v>12991</v>
      </c>
      <c r="AH632" s="13">
        <f>AF632-AG632</f>
        <v>38523</v>
      </c>
      <c r="AI632" s="12"/>
      <c r="AJ632" s="12"/>
      <c r="AK632" s="12"/>
    </row>
    <row r="633" spans="1:37">
      <c r="A633" s="10">
        <v>1</v>
      </c>
      <c r="B633" s="10">
        <v>1763</v>
      </c>
      <c r="C633" s="10" t="s">
        <v>662</v>
      </c>
      <c r="D633" s="11" t="s">
        <v>23</v>
      </c>
      <c r="E633" s="11"/>
      <c r="F633" s="11" t="s">
        <v>663</v>
      </c>
      <c r="G633" s="11" t="s">
        <v>26</v>
      </c>
      <c r="H633" s="12"/>
      <c r="I633" s="12"/>
      <c r="J633" s="12">
        <v>150</v>
      </c>
      <c r="K633" s="12">
        <v>2400</v>
      </c>
      <c r="L633" s="12">
        <v>12241</v>
      </c>
      <c r="M633" s="11">
        <f>L633*4+AI633-AJ633</f>
        <v>48964</v>
      </c>
      <c r="N633" s="13"/>
      <c r="O633" s="12"/>
      <c r="P633" s="12"/>
      <c r="Q633" s="12"/>
      <c r="R633" s="12"/>
      <c r="S633" s="12"/>
      <c r="T633" s="12">
        <v>12991</v>
      </c>
      <c r="U633" s="12"/>
      <c r="V633" s="12"/>
      <c r="W633" s="12"/>
      <c r="X633" s="12"/>
      <c r="Y633" s="12"/>
      <c r="Z633" s="12"/>
      <c r="AA633" s="12"/>
      <c r="AB633" s="12"/>
      <c r="AC633" s="12"/>
      <c r="AD633" s="12"/>
      <c r="AE633" s="12"/>
      <c r="AF633" s="13">
        <f>H633+I633+J633+K633+M633-N633</f>
        <v>51514</v>
      </c>
      <c r="AG633" s="13">
        <f>SUM(O633:AE633)</f>
        <v>12991</v>
      </c>
      <c r="AH633" s="13">
        <f>AF633-AG633</f>
        <v>38523</v>
      </c>
      <c r="AI633" s="12"/>
      <c r="AJ633" s="12"/>
      <c r="AK633" s="12"/>
    </row>
    <row r="634" spans="1:37">
      <c r="A634" s="10">
        <v>2</v>
      </c>
      <c r="B634" s="37">
        <v>1567</v>
      </c>
      <c r="C634" s="32" t="s">
        <v>664</v>
      </c>
      <c r="D634" s="37" t="s">
        <v>28</v>
      </c>
      <c r="E634" s="37"/>
      <c r="F634" s="37" t="s">
        <v>663</v>
      </c>
      <c r="G634" s="37" t="s">
        <v>26</v>
      </c>
      <c r="H634" s="9"/>
      <c r="I634" s="12"/>
      <c r="J634" s="12">
        <v>150</v>
      </c>
      <c r="K634" s="12">
        <v>0</v>
      </c>
      <c r="L634" s="12">
        <v>0</v>
      </c>
      <c r="M634" s="11">
        <f>L634*4+AI634-AJ634</f>
        <v>0</v>
      </c>
      <c r="N634" s="13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  <c r="AA634" s="12"/>
      <c r="AB634" s="12"/>
      <c r="AC634" s="12"/>
      <c r="AD634" s="12"/>
      <c r="AE634" s="12"/>
      <c r="AF634" s="13">
        <f>H634+I634+J634+K634+M634-N634</f>
        <v>150</v>
      </c>
      <c r="AG634" s="13">
        <f>SUM(O634:AE634)</f>
        <v>0</v>
      </c>
      <c r="AH634" s="13">
        <f>AF634-AG634</f>
        <v>150</v>
      </c>
      <c r="AI634" s="12"/>
      <c r="AJ634" s="12"/>
      <c r="AK634" s="12"/>
    </row>
    <row r="635" spans="1:37">
      <c r="A635" s="10">
        <v>3</v>
      </c>
      <c r="B635" s="11">
        <v>2126</v>
      </c>
      <c r="C635" s="16" t="s">
        <v>665</v>
      </c>
      <c r="D635" s="11" t="s">
        <v>23</v>
      </c>
      <c r="E635" s="11"/>
      <c r="F635" s="11" t="s">
        <v>663</v>
      </c>
      <c r="G635" s="11" t="s">
        <v>26</v>
      </c>
      <c r="H635" s="9"/>
      <c r="I635" s="12"/>
      <c r="J635" s="12">
        <v>150</v>
      </c>
      <c r="K635" s="12">
        <v>2400</v>
      </c>
      <c r="L635" s="12">
        <v>12241</v>
      </c>
      <c r="M635" s="11">
        <f>L635*4+AI635-AJ635</f>
        <v>48964</v>
      </c>
      <c r="N635" s="13"/>
      <c r="O635" s="9"/>
      <c r="P635" s="12"/>
      <c r="Q635" s="12"/>
      <c r="R635" s="12"/>
      <c r="S635" s="12"/>
      <c r="T635" s="12"/>
      <c r="U635" s="12"/>
      <c r="V635" s="12">
        <v>12991</v>
      </c>
      <c r="W635" s="12"/>
      <c r="X635" s="12"/>
      <c r="Y635" s="12"/>
      <c r="Z635" s="12"/>
      <c r="AA635" s="12"/>
      <c r="AB635" s="12"/>
      <c r="AC635" s="12"/>
      <c r="AD635" s="12"/>
      <c r="AE635" s="12"/>
      <c r="AF635" s="13">
        <f>H635+I635+J635+K635+M635-N635</f>
        <v>51514</v>
      </c>
      <c r="AG635" s="13">
        <f>SUM(O635:AE635)</f>
        <v>12991</v>
      </c>
      <c r="AH635" s="13">
        <f>AF635-AG635</f>
        <v>38523</v>
      </c>
      <c r="AI635" s="12"/>
      <c r="AJ635" s="12"/>
      <c r="AK635" s="12"/>
    </row>
    <row r="636" spans="1:37">
      <c r="A636" s="10">
        <v>4</v>
      </c>
      <c r="B636" s="11">
        <v>1214</v>
      </c>
      <c r="C636" s="10" t="s">
        <v>666</v>
      </c>
      <c r="D636" s="11" t="s">
        <v>23</v>
      </c>
      <c r="E636" s="11"/>
      <c r="F636" s="11" t="s">
        <v>663</v>
      </c>
      <c r="G636" s="11" t="s">
        <v>26</v>
      </c>
      <c r="H636" s="9"/>
      <c r="I636" s="12"/>
      <c r="J636" s="12">
        <v>150</v>
      </c>
      <c r="K636" s="12">
        <v>2400</v>
      </c>
      <c r="L636" s="12">
        <v>12241</v>
      </c>
      <c r="M636" s="11">
        <f>L636*4+AI636-AJ636</f>
        <v>48964</v>
      </c>
      <c r="N636" s="13">
        <v>2448</v>
      </c>
      <c r="O636" s="12"/>
      <c r="P636" s="12"/>
      <c r="Q636" s="12"/>
      <c r="R636" s="12"/>
      <c r="S636" s="12"/>
      <c r="T636" s="12"/>
      <c r="U636" s="12">
        <v>49066</v>
      </c>
      <c r="V636" s="12"/>
      <c r="W636" s="12"/>
      <c r="X636" s="12"/>
      <c r="Y636" s="12"/>
      <c r="Z636" s="12"/>
      <c r="AA636" s="12"/>
      <c r="AB636" s="12"/>
      <c r="AC636" s="12"/>
      <c r="AD636" s="12"/>
      <c r="AE636" s="12"/>
      <c r="AF636" s="13">
        <f>H636+I636+J636+K636+M636-N636</f>
        <v>49066</v>
      </c>
      <c r="AG636" s="13">
        <f>SUM(O636:AE636)</f>
        <v>49066</v>
      </c>
      <c r="AH636" s="13">
        <f>AF636-AG636</f>
        <v>0</v>
      </c>
      <c r="AI636" s="12"/>
      <c r="AJ636" s="12"/>
      <c r="AK636" s="12"/>
    </row>
    <row r="637" spans="1:37">
      <c r="A637" s="10">
        <v>5</v>
      </c>
      <c r="B637" s="16">
        <v>2085</v>
      </c>
      <c r="C637" s="16" t="s">
        <v>667</v>
      </c>
      <c r="D637" s="16" t="s">
        <v>28</v>
      </c>
      <c r="E637" s="16"/>
      <c r="F637" s="11" t="s">
        <v>663</v>
      </c>
      <c r="G637" s="12" t="s">
        <v>26</v>
      </c>
      <c r="H637" s="9"/>
      <c r="I637" s="12"/>
      <c r="J637" s="12">
        <v>150</v>
      </c>
      <c r="K637" s="12">
        <v>2400</v>
      </c>
      <c r="L637" s="12">
        <v>12241</v>
      </c>
      <c r="M637" s="11">
        <f>L637*4+AI637-AJ637</f>
        <v>48964</v>
      </c>
      <c r="N637" s="13"/>
      <c r="O637" s="9"/>
      <c r="P637" s="12"/>
      <c r="Q637" s="12"/>
      <c r="R637" s="12"/>
      <c r="S637" s="12"/>
      <c r="T637" s="12"/>
      <c r="U637" s="12"/>
      <c r="V637" s="12">
        <v>12991</v>
      </c>
      <c r="W637" s="12"/>
      <c r="X637" s="12"/>
      <c r="Y637" s="12"/>
      <c r="Z637" s="12"/>
      <c r="AA637" s="12"/>
      <c r="AB637" s="12"/>
      <c r="AC637" s="12"/>
      <c r="AD637" s="12"/>
      <c r="AE637" s="12"/>
      <c r="AF637" s="13">
        <f>H637+I637+J637+K637+M637-N637</f>
        <v>51514</v>
      </c>
      <c r="AG637" s="13">
        <f>SUM(O637:AE637)</f>
        <v>12991</v>
      </c>
      <c r="AH637" s="13">
        <f>AF637-AG637</f>
        <v>38523</v>
      </c>
      <c r="AI637" s="12"/>
      <c r="AJ637" s="12"/>
      <c r="AK637" s="12"/>
    </row>
    <row r="638" spans="1:37">
      <c r="A638" s="10">
        <v>6</v>
      </c>
      <c r="B638" s="11">
        <v>1010</v>
      </c>
      <c r="C638" s="10" t="s">
        <v>668</v>
      </c>
      <c r="D638" s="11" t="s">
        <v>23</v>
      </c>
      <c r="E638" s="11"/>
      <c r="F638" s="11" t="s">
        <v>663</v>
      </c>
      <c r="G638" s="11" t="s">
        <v>26</v>
      </c>
      <c r="H638" s="9"/>
      <c r="I638" s="12"/>
      <c r="J638" s="12">
        <v>150</v>
      </c>
      <c r="K638" s="12">
        <v>2400</v>
      </c>
      <c r="L638" s="12">
        <v>12241</v>
      </c>
      <c r="M638" s="11">
        <f>L638*4+AI638-AJ638</f>
        <v>48964</v>
      </c>
      <c r="N638" s="13"/>
      <c r="O638" s="12"/>
      <c r="P638" s="12"/>
      <c r="Q638" s="12"/>
      <c r="R638" s="12"/>
      <c r="S638" s="12"/>
      <c r="T638" s="12">
        <v>12991</v>
      </c>
      <c r="U638" s="12"/>
      <c r="V638" s="12"/>
      <c r="W638" s="12"/>
      <c r="X638" s="12"/>
      <c r="Y638" s="12"/>
      <c r="Z638" s="12"/>
      <c r="AA638" s="12"/>
      <c r="AB638" s="12"/>
      <c r="AC638" s="12"/>
      <c r="AD638" s="12"/>
      <c r="AE638" s="12"/>
      <c r="AF638" s="13">
        <f>H638+I638+J638+K638+M638-N638</f>
        <v>51514</v>
      </c>
      <c r="AG638" s="13">
        <f>SUM(O638:AE638)</f>
        <v>12991</v>
      </c>
      <c r="AH638" s="13">
        <f>AF638-AG638</f>
        <v>38523</v>
      </c>
      <c r="AI638" s="12"/>
      <c r="AJ638" s="12"/>
      <c r="AK638" s="12"/>
    </row>
    <row r="639" spans="1:37">
      <c r="A639" s="10">
        <v>7</v>
      </c>
      <c r="B639" s="11">
        <v>1275</v>
      </c>
      <c r="C639" s="10" t="s">
        <v>669</v>
      </c>
      <c r="D639" s="11" t="s">
        <v>28</v>
      </c>
      <c r="E639" s="11"/>
      <c r="F639" s="11" t="s">
        <v>663</v>
      </c>
      <c r="G639" s="11" t="s">
        <v>26</v>
      </c>
      <c r="H639" s="9"/>
      <c r="I639" s="12"/>
      <c r="J639" s="12">
        <v>150</v>
      </c>
      <c r="K639" s="12">
        <v>2400</v>
      </c>
      <c r="L639" s="12">
        <v>12241</v>
      </c>
      <c r="M639" s="11">
        <f>L639*4+AI639-AJ639</f>
        <v>48964</v>
      </c>
      <c r="N639" s="13"/>
      <c r="O639" s="12"/>
      <c r="P639" s="12"/>
      <c r="Q639" s="12"/>
      <c r="R639" s="12"/>
      <c r="S639" s="12"/>
      <c r="T639" s="12">
        <v>12991</v>
      </c>
      <c r="U639" s="12"/>
      <c r="V639" s="12"/>
      <c r="W639" s="12"/>
      <c r="X639" s="12"/>
      <c r="Y639" s="12"/>
      <c r="Z639" s="12"/>
      <c r="AA639" s="12"/>
      <c r="AB639" s="12"/>
      <c r="AC639" s="12"/>
      <c r="AD639" s="12"/>
      <c r="AE639" s="12"/>
      <c r="AF639" s="13">
        <f>H639+I639+J639+K639+M639-N639</f>
        <v>51514</v>
      </c>
      <c r="AG639" s="13">
        <f>SUM(O639:AE639)</f>
        <v>12991</v>
      </c>
      <c r="AH639" s="13">
        <f>AF639-AG639</f>
        <v>38523</v>
      </c>
      <c r="AI639" s="12"/>
      <c r="AJ639" s="12"/>
      <c r="AK639" s="12"/>
    </row>
    <row r="640" spans="1:37">
      <c r="A640" s="10">
        <v>8</v>
      </c>
      <c r="B640" s="11">
        <v>945</v>
      </c>
      <c r="C640" s="10" t="s">
        <v>670</v>
      </c>
      <c r="D640" s="11" t="s">
        <v>23</v>
      </c>
      <c r="E640" s="11"/>
      <c r="F640" s="11" t="s">
        <v>663</v>
      </c>
      <c r="G640" s="11" t="s">
        <v>26</v>
      </c>
      <c r="H640" s="9"/>
      <c r="I640" s="12"/>
      <c r="J640" s="12">
        <v>150</v>
      </c>
      <c r="K640" s="12">
        <v>2400</v>
      </c>
      <c r="L640" s="12">
        <v>12241</v>
      </c>
      <c r="M640" s="11">
        <f>L640*4+AI640-AJ640</f>
        <v>48964</v>
      </c>
      <c r="N640" s="13"/>
      <c r="O640" s="12"/>
      <c r="P640" s="12"/>
      <c r="Q640" s="12"/>
      <c r="R640" s="12"/>
      <c r="S640" s="12"/>
      <c r="T640" s="12">
        <v>12991</v>
      </c>
      <c r="U640" s="12"/>
      <c r="V640" s="12"/>
      <c r="W640" s="12"/>
      <c r="X640" s="12"/>
      <c r="Y640" s="12"/>
      <c r="Z640" s="12"/>
      <c r="AA640" s="12"/>
      <c r="AB640" s="12"/>
      <c r="AC640" s="12"/>
      <c r="AD640" s="12"/>
      <c r="AE640" s="12"/>
      <c r="AF640" s="13">
        <f>H640+I640+J640+K640+M640-N640</f>
        <v>51514</v>
      </c>
      <c r="AG640" s="13">
        <f>SUM(O640:AE640)</f>
        <v>12991</v>
      </c>
      <c r="AH640" s="13">
        <f>AF640-AG640</f>
        <v>38523</v>
      </c>
      <c r="AI640" s="12"/>
      <c r="AJ640" s="12"/>
      <c r="AK640" s="12"/>
    </row>
    <row r="641" spans="1:37">
      <c r="A641" s="10">
        <v>9</v>
      </c>
      <c r="B641" s="16">
        <v>2072</v>
      </c>
      <c r="C641" s="16" t="s">
        <v>671</v>
      </c>
      <c r="D641" s="16" t="s">
        <v>28</v>
      </c>
      <c r="E641" s="16"/>
      <c r="F641" s="11" t="s">
        <v>663</v>
      </c>
      <c r="G641" s="12" t="s">
        <v>26</v>
      </c>
      <c r="H641" s="9"/>
      <c r="I641" s="12"/>
      <c r="J641" s="12">
        <v>150</v>
      </c>
      <c r="K641" s="12">
        <v>2400</v>
      </c>
      <c r="L641" s="12">
        <v>12241</v>
      </c>
      <c r="M641" s="11">
        <f>L641*4+AI641-AJ641</f>
        <v>48964</v>
      </c>
      <c r="N641" s="13"/>
      <c r="O641" s="12"/>
      <c r="P641" s="12"/>
      <c r="Q641" s="12"/>
      <c r="R641" s="12"/>
      <c r="S641" s="12">
        <v>12991</v>
      </c>
      <c r="T641" s="12"/>
      <c r="U641" s="12"/>
      <c r="V641" s="12">
        <v>12841</v>
      </c>
      <c r="W641" s="12"/>
      <c r="X641" s="12"/>
      <c r="Y641" s="12"/>
      <c r="Z641" s="12"/>
      <c r="AA641" s="12"/>
      <c r="AB641" s="12"/>
      <c r="AC641" s="12"/>
      <c r="AD641" s="12"/>
      <c r="AE641" s="12"/>
      <c r="AF641" s="13">
        <f>H641+I641+J641+K641+M641-N641</f>
        <v>51514</v>
      </c>
      <c r="AG641" s="13">
        <f>SUM(O641:AE641)</f>
        <v>25832</v>
      </c>
      <c r="AH641" s="13">
        <f>AF641-AG641</f>
        <v>25682</v>
      </c>
      <c r="AI641" s="12"/>
      <c r="AJ641" s="12"/>
      <c r="AK641" s="12"/>
    </row>
    <row r="642" spans="1:37">
      <c r="A642" s="10">
        <v>10</v>
      </c>
      <c r="B642" s="19">
        <v>2242</v>
      </c>
      <c r="C642" s="19" t="s">
        <v>672</v>
      </c>
      <c r="D642" s="19" t="s">
        <v>28</v>
      </c>
      <c r="E642" s="19" t="s">
        <v>24</v>
      </c>
      <c r="F642" s="22" t="s">
        <v>663</v>
      </c>
      <c r="G642" s="20" t="s">
        <v>26</v>
      </c>
      <c r="H642" s="9">
        <v>5000</v>
      </c>
      <c r="I642" s="12">
        <v>1200</v>
      </c>
      <c r="J642" s="12">
        <v>150</v>
      </c>
      <c r="K642" s="12">
        <v>2400</v>
      </c>
      <c r="L642" s="12">
        <v>12241</v>
      </c>
      <c r="M642" s="11">
        <f>L642*4+AI642-AJ642</f>
        <v>48964</v>
      </c>
      <c r="N642" s="13">
        <v>2448</v>
      </c>
      <c r="O642" s="12">
        <v>5000</v>
      </c>
      <c r="P642" s="12">
        <v>1200</v>
      </c>
      <c r="Q642" s="12"/>
      <c r="R642" s="12"/>
      <c r="S642" s="11">
        <f>46516+2400+150</f>
        <v>49066</v>
      </c>
      <c r="T642" s="12"/>
      <c r="U642" s="12"/>
      <c r="V642" s="12"/>
      <c r="W642" s="12"/>
      <c r="X642" s="12"/>
      <c r="Y642" s="12"/>
      <c r="Z642" s="12"/>
      <c r="AA642" s="12"/>
      <c r="AB642" s="12"/>
      <c r="AC642" s="12"/>
      <c r="AD642" s="12"/>
      <c r="AE642" s="12"/>
      <c r="AF642" s="13">
        <f>H642+I642+J642+K642+M642-N642</f>
        <v>55266</v>
      </c>
      <c r="AG642" s="13">
        <f>SUM(O642:AE642)</f>
        <v>55266</v>
      </c>
      <c r="AH642" s="13">
        <f>AF642-AG642</f>
        <v>0</v>
      </c>
      <c r="AI642" s="12"/>
      <c r="AJ642" s="12"/>
      <c r="AK642" s="12"/>
    </row>
    <row r="643" spans="1:37">
      <c r="A643" s="10">
        <v>11</v>
      </c>
      <c r="B643" s="19">
        <v>2226</v>
      </c>
      <c r="C643" s="19" t="s">
        <v>673</v>
      </c>
      <c r="D643" s="19" t="s">
        <v>23</v>
      </c>
      <c r="E643" s="19" t="s">
        <v>24</v>
      </c>
      <c r="F643" s="22" t="s">
        <v>663</v>
      </c>
      <c r="G643" s="20" t="s">
        <v>26</v>
      </c>
      <c r="H643" s="9">
        <v>5000</v>
      </c>
      <c r="I643" s="12">
        <v>1200</v>
      </c>
      <c r="J643" s="12">
        <v>150</v>
      </c>
      <c r="K643" s="12">
        <v>2400</v>
      </c>
      <c r="L643" s="12">
        <v>12241</v>
      </c>
      <c r="M643" s="11">
        <f>L643*4+AI643-AJ643</f>
        <v>48964</v>
      </c>
      <c r="N643" s="13"/>
      <c r="O643" s="12">
        <v>5000</v>
      </c>
      <c r="P643" s="12">
        <v>1200</v>
      </c>
      <c r="Q643" s="12"/>
      <c r="R643" s="11">
        <f>12241+150+600</f>
        <v>12991</v>
      </c>
      <c r="S643" s="12"/>
      <c r="T643" s="12"/>
      <c r="U643" s="12"/>
      <c r="V643" s="12">
        <v>12841</v>
      </c>
      <c r="W643" s="12"/>
      <c r="X643" s="12"/>
      <c r="Y643" s="12"/>
      <c r="Z643" s="12"/>
      <c r="AA643" s="12"/>
      <c r="AB643" s="12"/>
      <c r="AC643" s="12"/>
      <c r="AD643" s="12"/>
      <c r="AE643" s="12"/>
      <c r="AF643" s="13">
        <f>H643+I643+J643+K643+M643-N643</f>
        <v>57714</v>
      </c>
      <c r="AG643" s="13">
        <f>SUM(O643:AE643)</f>
        <v>32032</v>
      </c>
      <c r="AH643" s="13">
        <f>AF643-AG643</f>
        <v>25682</v>
      </c>
      <c r="AI643" s="12"/>
      <c r="AJ643" s="12"/>
      <c r="AK643" s="12"/>
    </row>
    <row r="644" spans="1:37">
      <c r="A644" s="10">
        <v>12</v>
      </c>
      <c r="B644" s="11">
        <v>1597</v>
      </c>
      <c r="C644" s="10" t="s">
        <v>674</v>
      </c>
      <c r="D644" s="11" t="s">
        <v>23</v>
      </c>
      <c r="E644" s="11"/>
      <c r="F644" s="11" t="s">
        <v>663</v>
      </c>
      <c r="G644" s="11" t="s">
        <v>26</v>
      </c>
      <c r="H644" s="9"/>
      <c r="I644" s="12"/>
      <c r="J644" s="12">
        <v>150</v>
      </c>
      <c r="K644" s="12">
        <v>2400</v>
      </c>
      <c r="L644" s="12">
        <v>12241</v>
      </c>
      <c r="M644" s="11">
        <f>L644*4+AI644-AJ644</f>
        <v>48964</v>
      </c>
      <c r="N644" s="13"/>
      <c r="O644" s="12"/>
      <c r="P644" s="12"/>
      <c r="Q644" s="12"/>
      <c r="R644" s="12"/>
      <c r="S644" s="12"/>
      <c r="T644" s="12">
        <v>12991</v>
      </c>
      <c r="U644" s="12"/>
      <c r="V644" s="12">
        <v>12841</v>
      </c>
      <c r="W644" s="12"/>
      <c r="X644" s="12"/>
      <c r="Y644" s="12"/>
      <c r="Z644" s="12"/>
      <c r="AA644" s="12"/>
      <c r="AB644" s="12"/>
      <c r="AC644" s="12"/>
      <c r="AD644" s="12"/>
      <c r="AE644" s="12"/>
      <c r="AF644" s="13">
        <f>H644+I644+J644+K644+M644-N644</f>
        <v>51514</v>
      </c>
      <c r="AG644" s="13">
        <f>SUM(O644:AE644)</f>
        <v>25832</v>
      </c>
      <c r="AH644" s="13">
        <f>AF644-AG644</f>
        <v>25682</v>
      </c>
      <c r="AI644" s="12"/>
      <c r="AJ644" s="12"/>
      <c r="AK644" s="12"/>
    </row>
    <row r="645" spans="1:37">
      <c r="A645" s="10">
        <v>13</v>
      </c>
      <c r="B645" s="11">
        <v>1241</v>
      </c>
      <c r="C645" s="10" t="s">
        <v>675</v>
      </c>
      <c r="D645" s="11" t="s">
        <v>28</v>
      </c>
      <c r="E645" s="11"/>
      <c r="F645" s="11" t="s">
        <v>663</v>
      </c>
      <c r="G645" s="11" t="s">
        <v>26</v>
      </c>
      <c r="H645" s="9"/>
      <c r="I645" s="12"/>
      <c r="J645" s="12">
        <v>150</v>
      </c>
      <c r="K645" s="12">
        <v>2400</v>
      </c>
      <c r="L645" s="12">
        <v>12241</v>
      </c>
      <c r="M645" s="11">
        <f>L645*4+AI645-AJ645</f>
        <v>48964</v>
      </c>
      <c r="N645" s="13"/>
      <c r="O645" s="12"/>
      <c r="P645" s="12"/>
      <c r="Q645" s="12"/>
      <c r="R645" s="12"/>
      <c r="S645" s="12"/>
      <c r="T645" s="12">
        <v>12991</v>
      </c>
      <c r="U645" s="12"/>
      <c r="V645" s="12"/>
      <c r="W645" s="12"/>
      <c r="X645" s="12"/>
      <c r="Y645" s="12"/>
      <c r="Z645" s="12"/>
      <c r="AA645" s="12"/>
      <c r="AB645" s="12"/>
      <c r="AC645" s="12"/>
      <c r="AD645" s="12"/>
      <c r="AE645" s="12"/>
      <c r="AF645" s="13">
        <f>H645+I645+J645+K645+M645-N645</f>
        <v>51514</v>
      </c>
      <c r="AG645" s="13">
        <f>SUM(O645:AE645)</f>
        <v>12991</v>
      </c>
      <c r="AH645" s="13">
        <f>AF645-AG645</f>
        <v>38523</v>
      </c>
      <c r="AI645" s="12"/>
      <c r="AJ645" s="12"/>
      <c r="AK645" s="12"/>
    </row>
    <row r="646" spans="1:37">
      <c r="A646" s="10">
        <v>14</v>
      </c>
      <c r="B646" s="12">
        <v>1599</v>
      </c>
      <c r="C646" s="16" t="s">
        <v>676</v>
      </c>
      <c r="D646" s="12" t="s">
        <v>28</v>
      </c>
      <c r="E646" s="12"/>
      <c r="F646" s="11" t="s">
        <v>663</v>
      </c>
      <c r="G646" s="12" t="s">
        <v>26</v>
      </c>
      <c r="H646" s="9"/>
      <c r="I646" s="12"/>
      <c r="J646" s="12">
        <v>150</v>
      </c>
      <c r="K646" s="12">
        <v>2400</v>
      </c>
      <c r="L646" s="12">
        <v>12241</v>
      </c>
      <c r="M646" s="11">
        <f>L646*4+AI646-AJ646</f>
        <v>48964</v>
      </c>
      <c r="N646" s="13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  <c r="AA646" s="12"/>
      <c r="AB646" s="12"/>
      <c r="AC646" s="12"/>
      <c r="AD646" s="12"/>
      <c r="AE646" s="12"/>
      <c r="AF646" s="13">
        <f>H646+I646+J646+K646+M646-N646</f>
        <v>51514</v>
      </c>
      <c r="AG646" s="13">
        <f>SUM(O646:AE646)</f>
        <v>0</v>
      </c>
      <c r="AH646" s="13">
        <f>AF646-AG646</f>
        <v>51514</v>
      </c>
      <c r="AI646" s="12"/>
      <c r="AJ646" s="12"/>
      <c r="AK646" s="12"/>
    </row>
    <row r="647" spans="1:37">
      <c r="A647" s="10">
        <v>15</v>
      </c>
      <c r="B647" s="11">
        <v>1806</v>
      </c>
      <c r="C647" s="10" t="s">
        <v>677</v>
      </c>
      <c r="D647" s="11" t="s">
        <v>28</v>
      </c>
      <c r="E647" s="11"/>
      <c r="F647" s="11" t="s">
        <v>663</v>
      </c>
      <c r="G647" s="11" t="s">
        <v>26</v>
      </c>
      <c r="H647" s="12"/>
      <c r="I647" s="12"/>
      <c r="J647" s="12">
        <v>150</v>
      </c>
      <c r="K647" s="12">
        <v>2400</v>
      </c>
      <c r="L647" s="12">
        <v>12241</v>
      </c>
      <c r="M647" s="11">
        <f>L647*4+AI647-AJ647</f>
        <v>48964</v>
      </c>
      <c r="N647" s="13"/>
      <c r="O647" s="12"/>
      <c r="P647" s="12"/>
      <c r="Q647" s="12"/>
      <c r="R647" s="12"/>
      <c r="S647" s="12"/>
      <c r="T647" s="12">
        <v>12991</v>
      </c>
      <c r="U647" s="12"/>
      <c r="V647" s="12">
        <v>12841</v>
      </c>
      <c r="W647" s="12"/>
      <c r="X647" s="12"/>
      <c r="Y647" s="12"/>
      <c r="Z647" s="12"/>
      <c r="AA647" s="12"/>
      <c r="AB647" s="12"/>
      <c r="AC647" s="12"/>
      <c r="AD647" s="12"/>
      <c r="AE647" s="12"/>
      <c r="AF647" s="13">
        <f>H647+I647+J647+K647+M647-N647</f>
        <v>51514</v>
      </c>
      <c r="AG647" s="13">
        <f>SUM(O647:AE647)</f>
        <v>25832</v>
      </c>
      <c r="AH647" s="13">
        <f>AF647-AG647</f>
        <v>25682</v>
      </c>
      <c r="AI647" s="12"/>
      <c r="AJ647" s="12"/>
      <c r="AK647" s="12"/>
    </row>
    <row r="648" spans="1:37">
      <c r="A648" s="10">
        <v>16</v>
      </c>
      <c r="B648" s="11">
        <v>1013</v>
      </c>
      <c r="C648" s="10" t="s">
        <v>678</v>
      </c>
      <c r="D648" s="11" t="s">
        <v>23</v>
      </c>
      <c r="E648" s="11"/>
      <c r="F648" s="11" t="s">
        <v>663</v>
      </c>
      <c r="G648" s="11" t="s">
        <v>26</v>
      </c>
      <c r="H648" s="9"/>
      <c r="I648" s="12"/>
      <c r="J648" s="12">
        <v>150</v>
      </c>
      <c r="K648" s="12">
        <v>2400</v>
      </c>
      <c r="L648" s="12">
        <v>12241</v>
      </c>
      <c r="M648" s="11">
        <f>L648*4+AI648-AJ648</f>
        <v>48964</v>
      </c>
      <c r="N648" s="13"/>
      <c r="O648" s="12"/>
      <c r="P648" s="12"/>
      <c r="Q648" s="12"/>
      <c r="R648" s="12"/>
      <c r="S648" s="12"/>
      <c r="T648" s="12">
        <v>12991</v>
      </c>
      <c r="U648" s="12"/>
      <c r="V648" s="12"/>
      <c r="W648" s="12"/>
      <c r="X648" s="12"/>
      <c r="Y648" s="12"/>
      <c r="Z648" s="12"/>
      <c r="AA648" s="12"/>
      <c r="AB648" s="12"/>
      <c r="AC648" s="12"/>
      <c r="AD648" s="12"/>
      <c r="AE648" s="12"/>
      <c r="AF648" s="13">
        <f>H648+I648+J648+K648+M648-N648</f>
        <v>51514</v>
      </c>
      <c r="AG648" s="13">
        <f>SUM(O648:AE648)</f>
        <v>12991</v>
      </c>
      <c r="AH648" s="13">
        <f>AF648-AG648</f>
        <v>38523</v>
      </c>
      <c r="AI648" s="12"/>
      <c r="AJ648" s="12"/>
      <c r="AK648" s="12"/>
    </row>
    <row r="649" spans="1:37">
      <c r="A649" s="10">
        <v>17</v>
      </c>
      <c r="B649" s="11">
        <v>1634</v>
      </c>
      <c r="C649" s="10" t="s">
        <v>679</v>
      </c>
      <c r="D649" s="11" t="s">
        <v>28</v>
      </c>
      <c r="E649" s="11"/>
      <c r="F649" s="11" t="s">
        <v>663</v>
      </c>
      <c r="G649" s="11" t="s">
        <v>26</v>
      </c>
      <c r="H649" s="9"/>
      <c r="I649" s="12"/>
      <c r="J649" s="12">
        <v>150</v>
      </c>
      <c r="K649" s="12">
        <v>2400</v>
      </c>
      <c r="L649" s="12">
        <v>12241</v>
      </c>
      <c r="M649" s="11">
        <f>L649*4+AI649-AJ649</f>
        <v>48964</v>
      </c>
      <c r="N649" s="13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  <c r="AA649" s="12"/>
      <c r="AB649" s="12"/>
      <c r="AC649" s="12"/>
      <c r="AD649" s="12"/>
      <c r="AE649" s="12"/>
      <c r="AF649" s="13">
        <f>H649+I649+J649+K649+M649-N649</f>
        <v>51514</v>
      </c>
      <c r="AG649" s="13">
        <f>SUM(O649:AE649)</f>
        <v>0</v>
      </c>
      <c r="AH649" s="13">
        <f>AF649-AG649</f>
        <v>51514</v>
      </c>
      <c r="AI649" s="12"/>
      <c r="AJ649" s="12"/>
      <c r="AK649" s="12"/>
    </row>
    <row r="650" spans="1:37">
      <c r="A650" s="10">
        <v>18</v>
      </c>
      <c r="B650" s="11">
        <v>1155</v>
      </c>
      <c r="C650" s="10" t="s">
        <v>680</v>
      </c>
      <c r="D650" s="11" t="s">
        <v>23</v>
      </c>
      <c r="E650" s="11"/>
      <c r="F650" s="11" t="s">
        <v>663</v>
      </c>
      <c r="G650" s="11" t="s">
        <v>26</v>
      </c>
      <c r="H650" s="9"/>
      <c r="I650" s="12"/>
      <c r="J650" s="12">
        <v>150</v>
      </c>
      <c r="K650" s="12">
        <v>2400</v>
      </c>
      <c r="L650" s="12">
        <v>12241</v>
      </c>
      <c r="M650" s="11">
        <f>L650*4+AI650-AJ650</f>
        <v>48964</v>
      </c>
      <c r="N650" s="13"/>
      <c r="O650" s="12"/>
      <c r="P650" s="12"/>
      <c r="Q650" s="12"/>
      <c r="R650" s="12"/>
      <c r="S650" s="12"/>
      <c r="T650" s="12"/>
      <c r="U650" s="12">
        <v>13000</v>
      </c>
      <c r="V650" s="12"/>
      <c r="W650" s="12"/>
      <c r="X650" s="12"/>
      <c r="Y650" s="12"/>
      <c r="Z650" s="12"/>
      <c r="AA650" s="12"/>
      <c r="AB650" s="12"/>
      <c r="AC650" s="12"/>
      <c r="AD650" s="12"/>
      <c r="AE650" s="12"/>
      <c r="AF650" s="13">
        <f>H650+I650+J650+K650+M650-N650</f>
        <v>51514</v>
      </c>
      <c r="AG650" s="13">
        <f>SUM(O650:AE650)</f>
        <v>13000</v>
      </c>
      <c r="AH650" s="13">
        <f>AF650-AG650</f>
        <v>38514</v>
      </c>
      <c r="AI650" s="12"/>
      <c r="AJ650" s="12"/>
      <c r="AK650" s="12"/>
    </row>
    <row r="651" spans="1:37">
      <c r="A651" s="10">
        <v>19</v>
      </c>
      <c r="B651" s="27">
        <v>1066</v>
      </c>
      <c r="C651" s="26" t="s">
        <v>681</v>
      </c>
      <c r="D651" s="27" t="s">
        <v>28</v>
      </c>
      <c r="E651" s="27"/>
      <c r="F651" s="27" t="s">
        <v>663</v>
      </c>
      <c r="G651" s="27" t="s">
        <v>26</v>
      </c>
      <c r="H651" s="9"/>
      <c r="I651" s="12"/>
      <c r="J651" s="12">
        <v>150</v>
      </c>
      <c r="K651" s="12">
        <v>2400</v>
      </c>
      <c r="L651" s="12">
        <v>6121</v>
      </c>
      <c r="M651" s="11">
        <f>L651*4+AI651-AJ651</f>
        <v>24484</v>
      </c>
      <c r="N651" s="13"/>
      <c r="O651" s="12"/>
      <c r="P651" s="12"/>
      <c r="Q651" s="12"/>
      <c r="R651" s="12"/>
      <c r="S651" s="12"/>
      <c r="T651" s="12"/>
      <c r="U651" s="12"/>
      <c r="V651" s="11">
        <f>2000+2000+2000+2000+818</f>
        <v>8818</v>
      </c>
      <c r="W651" s="12"/>
      <c r="X651" s="12"/>
      <c r="Y651" s="12"/>
      <c r="Z651" s="12"/>
      <c r="AA651" s="12"/>
      <c r="AB651" s="12"/>
      <c r="AC651" s="12"/>
      <c r="AD651" s="12"/>
      <c r="AE651" s="12"/>
      <c r="AF651" s="13">
        <f>H651+I651+J651+K651+M651-N651</f>
        <v>27034</v>
      </c>
      <c r="AG651" s="13">
        <f>SUM(O651:AE651)</f>
        <v>8818</v>
      </c>
      <c r="AH651" s="13">
        <f>AF651-AG651</f>
        <v>18216</v>
      </c>
      <c r="AI651" s="12"/>
      <c r="AJ651" s="12"/>
      <c r="AK651" s="12"/>
    </row>
    <row r="652" spans="1:37">
      <c r="A652" s="10">
        <v>20</v>
      </c>
      <c r="B652" s="11">
        <v>950</v>
      </c>
      <c r="C652" s="10" t="s">
        <v>682</v>
      </c>
      <c r="D652" s="11" t="s">
        <v>28</v>
      </c>
      <c r="E652" s="11"/>
      <c r="F652" s="11" t="s">
        <v>663</v>
      </c>
      <c r="G652" s="11" t="s">
        <v>26</v>
      </c>
      <c r="H652" s="9"/>
      <c r="I652" s="12"/>
      <c r="J652" s="12">
        <v>150</v>
      </c>
      <c r="K652" s="12">
        <v>2400</v>
      </c>
      <c r="L652" s="12">
        <v>12241</v>
      </c>
      <c r="M652" s="11">
        <f>L652*4+AI652-AJ652</f>
        <v>48964</v>
      </c>
      <c r="N652" s="13"/>
      <c r="O652" s="12"/>
      <c r="P652" s="12"/>
      <c r="Q652" s="12"/>
      <c r="R652" s="12"/>
      <c r="S652" s="12"/>
      <c r="T652" s="12">
        <v>12991</v>
      </c>
      <c r="U652" s="12"/>
      <c r="V652" s="12"/>
      <c r="W652" s="12"/>
      <c r="X652" s="12"/>
      <c r="Y652" s="12"/>
      <c r="Z652" s="12"/>
      <c r="AA652" s="12"/>
      <c r="AB652" s="12"/>
      <c r="AC652" s="12"/>
      <c r="AD652" s="12"/>
      <c r="AE652" s="12"/>
      <c r="AF652" s="13">
        <f>H652+I652+J652+K652+M652-N652</f>
        <v>51514</v>
      </c>
      <c r="AG652" s="13">
        <f>SUM(O652:AE652)</f>
        <v>12991</v>
      </c>
      <c r="AH652" s="13">
        <f>AF652-AG652</f>
        <v>38523</v>
      </c>
      <c r="AI652" s="12"/>
      <c r="AJ652" s="12"/>
      <c r="AK652" s="12"/>
    </row>
    <row r="653" spans="1:37">
      <c r="A653" s="10">
        <v>21</v>
      </c>
      <c r="B653" s="11">
        <v>1928</v>
      </c>
      <c r="C653" s="10" t="s">
        <v>683</v>
      </c>
      <c r="D653" s="11" t="s">
        <v>28</v>
      </c>
      <c r="E653" s="11"/>
      <c r="F653" s="11" t="s">
        <v>663</v>
      </c>
      <c r="G653" s="11" t="s">
        <v>26</v>
      </c>
      <c r="H653" s="9"/>
      <c r="I653" s="12"/>
      <c r="J653" s="12">
        <v>150</v>
      </c>
      <c r="K653" s="12">
        <v>2400</v>
      </c>
      <c r="L653" s="12">
        <v>12241</v>
      </c>
      <c r="M653" s="11">
        <f>L653*4+AI653-AJ653</f>
        <v>48964</v>
      </c>
      <c r="N653" s="13">
        <v>2448</v>
      </c>
      <c r="O653" s="12"/>
      <c r="P653" s="12"/>
      <c r="Q653" s="12"/>
      <c r="R653" s="12"/>
      <c r="S653" s="12"/>
      <c r="T653" s="12">
        <v>49066</v>
      </c>
      <c r="U653" s="12"/>
      <c r="V653" s="12"/>
      <c r="W653" s="12"/>
      <c r="X653" s="12"/>
      <c r="Y653" s="12"/>
      <c r="Z653" s="12"/>
      <c r="AA653" s="12"/>
      <c r="AB653" s="12"/>
      <c r="AC653" s="12"/>
      <c r="AD653" s="12"/>
      <c r="AE653" s="12"/>
      <c r="AF653" s="13">
        <f>H653+I653+J653+K653+M653-N653</f>
        <v>49066</v>
      </c>
      <c r="AG653" s="13">
        <f>SUM(O653:AE653)</f>
        <v>49066</v>
      </c>
      <c r="AH653" s="13">
        <f>AF653-AG653</f>
        <v>0</v>
      </c>
      <c r="AI653" s="12"/>
      <c r="AJ653" s="12"/>
      <c r="AK653" s="12"/>
    </row>
    <row r="654" spans="1:37">
      <c r="A654" s="10">
        <v>22</v>
      </c>
      <c r="B654" s="11">
        <v>1000</v>
      </c>
      <c r="C654" s="10" t="s">
        <v>684</v>
      </c>
      <c r="D654" s="11" t="s">
        <v>28</v>
      </c>
      <c r="E654" s="11"/>
      <c r="F654" s="11" t="s">
        <v>663</v>
      </c>
      <c r="G654" s="11" t="s">
        <v>26</v>
      </c>
      <c r="H654" s="9"/>
      <c r="I654" s="12"/>
      <c r="J654" s="12">
        <v>150</v>
      </c>
      <c r="K654" s="12">
        <v>2400</v>
      </c>
      <c r="L654" s="12">
        <v>12241</v>
      </c>
      <c r="M654" s="11">
        <f>L654*4+AI654-AJ654</f>
        <v>48964</v>
      </c>
      <c r="N654" s="13"/>
      <c r="O654" s="12"/>
      <c r="P654" s="12"/>
      <c r="Q654" s="12"/>
      <c r="R654" s="12"/>
      <c r="S654" s="12">
        <v>12991</v>
      </c>
      <c r="T654" s="12"/>
      <c r="U654" s="12"/>
      <c r="V654" s="12"/>
      <c r="W654" s="12"/>
      <c r="X654" s="12"/>
      <c r="Y654" s="12"/>
      <c r="Z654" s="12"/>
      <c r="AA654" s="12"/>
      <c r="AB654" s="12"/>
      <c r="AC654" s="12"/>
      <c r="AD654" s="12"/>
      <c r="AE654" s="12"/>
      <c r="AF654" s="13">
        <f>H654+I654+J654+K654+M654-N654</f>
        <v>51514</v>
      </c>
      <c r="AG654" s="13">
        <f>SUM(O654:AE654)</f>
        <v>12991</v>
      </c>
      <c r="AH654" s="13">
        <f>AF654-AG654</f>
        <v>38523</v>
      </c>
      <c r="AI654" s="12"/>
      <c r="AJ654" s="12"/>
      <c r="AK654" s="12"/>
    </row>
    <row r="655" spans="1:37">
      <c r="A655" s="10">
        <v>23</v>
      </c>
      <c r="B655" s="10">
        <v>1737</v>
      </c>
      <c r="C655" s="11" t="s">
        <v>685</v>
      </c>
      <c r="D655" s="11" t="s">
        <v>28</v>
      </c>
      <c r="E655" s="11"/>
      <c r="F655" s="11" t="s">
        <v>663</v>
      </c>
      <c r="G655" s="11" t="s">
        <v>26</v>
      </c>
      <c r="H655" s="12"/>
      <c r="I655" s="12"/>
      <c r="J655" s="12">
        <v>150</v>
      </c>
      <c r="K655" s="12">
        <v>2400</v>
      </c>
      <c r="L655" s="12">
        <v>12241</v>
      </c>
      <c r="M655" s="11">
        <f>L655*4+AI655-AJ655</f>
        <v>48964</v>
      </c>
      <c r="N655" s="13"/>
      <c r="O655" s="12"/>
      <c r="P655" s="12"/>
      <c r="Q655" s="12"/>
      <c r="R655" s="12"/>
      <c r="S655" s="12"/>
      <c r="T655" s="12">
        <v>12991</v>
      </c>
      <c r="U655" s="12"/>
      <c r="V655" s="12"/>
      <c r="W655" s="12"/>
      <c r="X655" s="12"/>
      <c r="Y655" s="12"/>
      <c r="Z655" s="12"/>
      <c r="AA655" s="12"/>
      <c r="AB655" s="12"/>
      <c r="AC655" s="12"/>
      <c r="AD655" s="12"/>
      <c r="AE655" s="12"/>
      <c r="AF655" s="13">
        <f>H655+I655+J655+K655+M655-N655</f>
        <v>51514</v>
      </c>
      <c r="AG655" s="13">
        <f>SUM(O655:AE655)</f>
        <v>12991</v>
      </c>
      <c r="AH655" s="13">
        <f>AF655-AG655</f>
        <v>38523</v>
      </c>
      <c r="AI655" s="12"/>
      <c r="AJ655" s="12"/>
      <c r="AK655" s="12"/>
    </row>
    <row r="656" spans="1:37">
      <c r="A656" s="10">
        <v>24</v>
      </c>
      <c r="B656" s="11">
        <v>1114</v>
      </c>
      <c r="C656" s="10" t="s">
        <v>686</v>
      </c>
      <c r="D656" s="11" t="s">
        <v>23</v>
      </c>
      <c r="E656" s="11"/>
      <c r="F656" s="11" t="s">
        <v>663</v>
      </c>
      <c r="G656" s="11" t="s">
        <v>26</v>
      </c>
      <c r="H656" s="9"/>
      <c r="I656" s="12"/>
      <c r="J656" s="12">
        <v>150</v>
      </c>
      <c r="K656" s="12">
        <v>2400</v>
      </c>
      <c r="L656" s="12">
        <v>12241</v>
      </c>
      <c r="M656" s="11">
        <f>L656*4+AI656-AJ656</f>
        <v>48964</v>
      </c>
      <c r="N656" s="13"/>
      <c r="O656" s="12"/>
      <c r="P656" s="12"/>
      <c r="Q656" s="12"/>
      <c r="R656" s="12"/>
      <c r="S656" s="12"/>
      <c r="T656" s="12">
        <v>12991</v>
      </c>
      <c r="U656" s="12"/>
      <c r="V656" s="12">
        <v>12841</v>
      </c>
      <c r="W656" s="12"/>
      <c r="X656" s="12"/>
      <c r="Y656" s="12"/>
      <c r="Z656" s="12"/>
      <c r="AA656" s="12"/>
      <c r="AB656" s="12"/>
      <c r="AC656" s="12"/>
      <c r="AD656" s="12"/>
      <c r="AE656" s="12"/>
      <c r="AF656" s="13">
        <f>H656+I656+J656+K656+M656-N656</f>
        <v>51514</v>
      </c>
      <c r="AG656" s="13">
        <f>SUM(O656:AE656)</f>
        <v>25832</v>
      </c>
      <c r="AH656" s="13">
        <f>AF656-AG656</f>
        <v>25682</v>
      </c>
      <c r="AI656" s="12"/>
      <c r="AJ656" s="12"/>
      <c r="AK656" s="12"/>
    </row>
    <row r="657" spans="1:37">
      <c r="A657" s="10">
        <v>25</v>
      </c>
      <c r="B657" s="11">
        <v>915</v>
      </c>
      <c r="C657" s="10" t="s">
        <v>687</v>
      </c>
      <c r="D657" s="11" t="s">
        <v>28</v>
      </c>
      <c r="E657" s="11"/>
      <c r="F657" s="11" t="s">
        <v>663</v>
      </c>
      <c r="G657" s="11" t="s">
        <v>26</v>
      </c>
      <c r="H657" s="9"/>
      <c r="I657" s="12"/>
      <c r="J657" s="12">
        <v>150</v>
      </c>
      <c r="K657" s="12">
        <v>2400</v>
      </c>
      <c r="L657" s="12">
        <v>12241</v>
      </c>
      <c r="M657" s="11">
        <f>L657*4+AI657-AJ657</f>
        <v>48964</v>
      </c>
      <c r="N657" s="13">
        <v>2114</v>
      </c>
      <c r="O657" s="12"/>
      <c r="P657" s="12"/>
      <c r="Q657" s="12"/>
      <c r="R657" s="12"/>
      <c r="S657" s="12">
        <v>49400</v>
      </c>
      <c r="T657" s="12"/>
      <c r="U657" s="12"/>
      <c r="V657" s="12"/>
      <c r="W657" s="12"/>
      <c r="X657" s="12"/>
      <c r="Y657" s="12"/>
      <c r="Z657" s="12"/>
      <c r="AA657" s="12"/>
      <c r="AB657" s="12"/>
      <c r="AC657" s="12"/>
      <c r="AD657" s="12"/>
      <c r="AE657" s="12"/>
      <c r="AF657" s="13">
        <f>H657+I657+J657+K657+M657-N657</f>
        <v>49400</v>
      </c>
      <c r="AG657" s="13">
        <f>SUM(O657:AE657)</f>
        <v>49400</v>
      </c>
      <c r="AH657" s="13">
        <f>AF657-AG657</f>
        <v>0</v>
      </c>
      <c r="AI657" s="12"/>
      <c r="AJ657" s="12"/>
      <c r="AK657" s="12"/>
    </row>
    <row r="658" spans="1:37">
      <c r="A658" s="10">
        <v>26</v>
      </c>
      <c r="B658" s="10">
        <v>1724</v>
      </c>
      <c r="C658" s="11" t="s">
        <v>688</v>
      </c>
      <c r="D658" s="11" t="s">
        <v>23</v>
      </c>
      <c r="E658" s="11"/>
      <c r="F658" s="11" t="s">
        <v>663</v>
      </c>
      <c r="G658" s="11" t="s">
        <v>26</v>
      </c>
      <c r="H658" s="12"/>
      <c r="I658" s="12"/>
      <c r="J658" s="12">
        <v>150</v>
      </c>
      <c r="K658" s="12">
        <v>2400</v>
      </c>
      <c r="L658" s="12">
        <v>12241</v>
      </c>
      <c r="M658" s="11">
        <f>L658*4+AI658-AJ658</f>
        <v>48964</v>
      </c>
      <c r="N658" s="13"/>
      <c r="O658" s="12"/>
      <c r="P658" s="12"/>
      <c r="Q658" s="12"/>
      <c r="R658" s="12"/>
      <c r="S658" s="12"/>
      <c r="T658" s="12"/>
      <c r="U658" s="12">
        <v>12991</v>
      </c>
      <c r="V658" s="12"/>
      <c r="W658" s="12"/>
      <c r="X658" s="12"/>
      <c r="Y658" s="12"/>
      <c r="Z658" s="12"/>
      <c r="AA658" s="12"/>
      <c r="AB658" s="12"/>
      <c r="AC658" s="12"/>
      <c r="AD658" s="12"/>
      <c r="AE658" s="12"/>
      <c r="AF658" s="13">
        <f>H658+I658+J658+K658+M658-N658</f>
        <v>51514</v>
      </c>
      <c r="AG658" s="13">
        <f>SUM(O658:AE658)</f>
        <v>12991</v>
      </c>
      <c r="AH658" s="13">
        <f>AF658-AG658</f>
        <v>38523</v>
      </c>
      <c r="AI658" s="12"/>
      <c r="AJ658" s="12"/>
      <c r="AK658" s="12"/>
    </row>
    <row r="659" spans="1:37">
      <c r="A659" s="10">
        <v>27</v>
      </c>
      <c r="B659" s="10">
        <v>1635</v>
      </c>
      <c r="C659" s="11" t="s">
        <v>689</v>
      </c>
      <c r="D659" s="11" t="s">
        <v>23</v>
      </c>
      <c r="E659" s="11"/>
      <c r="F659" s="11" t="s">
        <v>663</v>
      </c>
      <c r="G659" s="11" t="s">
        <v>26</v>
      </c>
      <c r="H659" s="12"/>
      <c r="I659" s="12"/>
      <c r="J659" s="12">
        <v>150</v>
      </c>
      <c r="K659" s="12">
        <v>2400</v>
      </c>
      <c r="L659" s="12">
        <v>12241</v>
      </c>
      <c r="M659" s="11">
        <f>L659*4+AI659-AJ659</f>
        <v>48964</v>
      </c>
      <c r="N659" s="13"/>
      <c r="O659" s="12"/>
      <c r="P659" s="12"/>
      <c r="Q659" s="12"/>
      <c r="R659" s="12"/>
      <c r="S659" s="12"/>
      <c r="T659" s="12"/>
      <c r="U659" s="12">
        <v>12991</v>
      </c>
      <c r="V659" s="12"/>
      <c r="W659" s="12"/>
      <c r="X659" s="12"/>
      <c r="Y659" s="12"/>
      <c r="Z659" s="12"/>
      <c r="AA659" s="12"/>
      <c r="AB659" s="12"/>
      <c r="AC659" s="12"/>
      <c r="AD659" s="12"/>
      <c r="AE659" s="12"/>
      <c r="AF659" s="13">
        <f>H659+I659+J659+K659+M659-N659</f>
        <v>51514</v>
      </c>
      <c r="AG659" s="13">
        <f>SUM(O659:AE659)</f>
        <v>12991</v>
      </c>
      <c r="AH659" s="13">
        <f>AF659-AG659</f>
        <v>38523</v>
      </c>
      <c r="AI659" s="12"/>
      <c r="AJ659" s="12"/>
      <c r="AK659" s="12"/>
    </row>
    <row r="660" spans="1:37">
      <c r="A660" s="10">
        <v>1</v>
      </c>
      <c r="B660" s="11">
        <v>1011</v>
      </c>
      <c r="C660" s="10" t="s">
        <v>690</v>
      </c>
      <c r="D660" s="11" t="s">
        <v>23</v>
      </c>
      <c r="E660" s="11"/>
      <c r="F660" s="11" t="s">
        <v>663</v>
      </c>
      <c r="G660" s="11" t="s">
        <v>62</v>
      </c>
      <c r="H660" s="9"/>
      <c r="I660" s="12"/>
      <c r="J660" s="12">
        <v>150</v>
      </c>
      <c r="K660" s="12">
        <v>2400</v>
      </c>
      <c r="L660" s="12">
        <v>12241</v>
      </c>
      <c r="M660" s="11">
        <f>L660*4+AI660-AJ660</f>
        <v>48964</v>
      </c>
      <c r="N660" s="13"/>
      <c r="O660" s="12"/>
      <c r="P660" s="12"/>
      <c r="Q660" s="12"/>
      <c r="R660" s="12"/>
      <c r="S660" s="12"/>
      <c r="T660" s="12"/>
      <c r="U660" s="12">
        <v>12991</v>
      </c>
      <c r="V660" s="12"/>
      <c r="W660" s="12"/>
      <c r="X660" s="12"/>
      <c r="Y660" s="12"/>
      <c r="Z660" s="12"/>
      <c r="AA660" s="12"/>
      <c r="AB660" s="12"/>
      <c r="AC660" s="12"/>
      <c r="AD660" s="12"/>
      <c r="AE660" s="12"/>
      <c r="AF660" s="13">
        <f>H660+I660+J660+K660+M660-N660</f>
        <v>51514</v>
      </c>
      <c r="AG660" s="13">
        <f>SUM(O660:AE660)</f>
        <v>12991</v>
      </c>
      <c r="AH660" s="13">
        <f>AF660-AG660</f>
        <v>38523</v>
      </c>
      <c r="AI660" s="12"/>
      <c r="AJ660" s="12"/>
      <c r="AK660" s="12"/>
    </row>
    <row r="661" spans="1:37">
      <c r="A661" s="10">
        <v>2</v>
      </c>
      <c r="B661" s="11">
        <v>1890</v>
      </c>
      <c r="C661" s="10" t="s">
        <v>691</v>
      </c>
      <c r="D661" s="11" t="s">
        <v>28</v>
      </c>
      <c r="E661" s="11"/>
      <c r="F661" s="11" t="s">
        <v>663</v>
      </c>
      <c r="G661" s="11" t="s">
        <v>62</v>
      </c>
      <c r="H661" s="9"/>
      <c r="I661" s="12"/>
      <c r="J661" s="12">
        <v>150</v>
      </c>
      <c r="K661" s="12">
        <v>2400</v>
      </c>
      <c r="L661" s="12">
        <v>12241</v>
      </c>
      <c r="M661" s="11">
        <f>L661*4+AI661-AJ661</f>
        <v>48964</v>
      </c>
      <c r="N661" s="13"/>
      <c r="O661" s="12"/>
      <c r="P661" s="12"/>
      <c r="Q661" s="12"/>
      <c r="R661" s="12"/>
      <c r="S661" s="12"/>
      <c r="T661" s="12"/>
      <c r="U661" s="12"/>
      <c r="V661" s="12">
        <v>12991</v>
      </c>
      <c r="W661" s="12"/>
      <c r="X661" s="12"/>
      <c r="Y661" s="12"/>
      <c r="Z661" s="12"/>
      <c r="AA661" s="12"/>
      <c r="AB661" s="12"/>
      <c r="AC661" s="12"/>
      <c r="AD661" s="12"/>
      <c r="AE661" s="12"/>
      <c r="AF661" s="13">
        <f>H661+I661+J661+K661+M661-N661</f>
        <v>51514</v>
      </c>
      <c r="AG661" s="13">
        <f>SUM(O661:AE661)</f>
        <v>12991</v>
      </c>
      <c r="AH661" s="13">
        <f>AF661-AG661</f>
        <v>38523</v>
      </c>
      <c r="AI661" s="12"/>
      <c r="AJ661" s="12"/>
      <c r="AK661" s="12">
        <v>300</v>
      </c>
    </row>
    <row r="662" spans="1:37">
      <c r="A662" s="10">
        <v>3</v>
      </c>
      <c r="B662" s="12">
        <v>930</v>
      </c>
      <c r="C662" s="16" t="s">
        <v>692</v>
      </c>
      <c r="D662" s="12" t="s">
        <v>23</v>
      </c>
      <c r="E662" s="12"/>
      <c r="F662" s="11" t="s">
        <v>663</v>
      </c>
      <c r="G662" s="12" t="s">
        <v>62</v>
      </c>
      <c r="H662" s="9"/>
      <c r="I662" s="12"/>
      <c r="J662" s="12">
        <v>150</v>
      </c>
      <c r="K662" s="12">
        <v>2400</v>
      </c>
      <c r="L662" s="12">
        <v>12241</v>
      </c>
      <c r="M662" s="11">
        <f>L662*4+AI662-AJ662</f>
        <v>48964</v>
      </c>
      <c r="N662" s="13"/>
      <c r="O662" s="12"/>
      <c r="P662" s="12"/>
      <c r="Q662" s="12"/>
      <c r="R662" s="12"/>
      <c r="S662" s="12">
        <v>12991</v>
      </c>
      <c r="T662" s="12"/>
      <c r="U662" s="12"/>
      <c r="V662" s="12">
        <v>12841</v>
      </c>
      <c r="W662" s="12"/>
      <c r="X662" s="12"/>
      <c r="Y662" s="12"/>
      <c r="Z662" s="12"/>
      <c r="AA662" s="12"/>
      <c r="AB662" s="12"/>
      <c r="AC662" s="12"/>
      <c r="AD662" s="12"/>
      <c r="AE662" s="12"/>
      <c r="AF662" s="13">
        <f>H662+I662+J662+K662+M662-N662</f>
        <v>51514</v>
      </c>
      <c r="AG662" s="13">
        <f>SUM(O662:AE662)</f>
        <v>25832</v>
      </c>
      <c r="AH662" s="13">
        <f>AF662-AG662</f>
        <v>25682</v>
      </c>
      <c r="AI662" s="12"/>
      <c r="AJ662" s="12"/>
      <c r="AK662" s="12"/>
    </row>
    <row r="663" spans="1:37">
      <c r="A663" s="10">
        <v>4</v>
      </c>
      <c r="B663" s="11">
        <v>1885</v>
      </c>
      <c r="C663" s="10" t="s">
        <v>693</v>
      </c>
      <c r="D663" s="11" t="s">
        <v>23</v>
      </c>
      <c r="E663" s="11"/>
      <c r="F663" s="11" t="s">
        <v>663</v>
      </c>
      <c r="G663" s="11" t="s">
        <v>62</v>
      </c>
      <c r="H663" s="9"/>
      <c r="I663" s="12"/>
      <c r="J663" s="12">
        <v>150</v>
      </c>
      <c r="K663" s="12">
        <v>2400</v>
      </c>
      <c r="L663" s="12">
        <v>12241</v>
      </c>
      <c r="M663" s="11">
        <f>L663*4+AI663-AJ663</f>
        <v>48964</v>
      </c>
      <c r="N663" s="13"/>
      <c r="O663" s="12"/>
      <c r="P663" s="12"/>
      <c r="Q663" s="12"/>
      <c r="R663" s="12"/>
      <c r="S663" s="12"/>
      <c r="T663" s="12"/>
      <c r="U663" s="12">
        <v>12991</v>
      </c>
      <c r="V663" s="12"/>
      <c r="W663" s="12"/>
      <c r="X663" s="12"/>
      <c r="Y663" s="12"/>
      <c r="Z663" s="12"/>
      <c r="AA663" s="12"/>
      <c r="AB663" s="12"/>
      <c r="AC663" s="12"/>
      <c r="AD663" s="12"/>
      <c r="AE663" s="12"/>
      <c r="AF663" s="13">
        <f>H663+I663+J663+K663+M663-N663</f>
        <v>51514</v>
      </c>
      <c r="AG663" s="13">
        <f>SUM(O663:AE663)</f>
        <v>12991</v>
      </c>
      <c r="AH663" s="13">
        <f>AF663-AG663</f>
        <v>38523</v>
      </c>
      <c r="AI663" s="12"/>
      <c r="AJ663" s="12"/>
      <c r="AK663" s="12"/>
    </row>
    <row r="664" spans="1:37">
      <c r="A664" s="10">
        <v>5</v>
      </c>
      <c r="B664" s="11">
        <v>896</v>
      </c>
      <c r="C664" s="10" t="s">
        <v>694</v>
      </c>
      <c r="D664" s="11" t="s">
        <v>28</v>
      </c>
      <c r="E664" s="11"/>
      <c r="F664" s="11" t="s">
        <v>663</v>
      </c>
      <c r="G664" s="11" t="s">
        <v>62</v>
      </c>
      <c r="H664" s="9"/>
      <c r="I664" s="12"/>
      <c r="J664" s="12">
        <v>150</v>
      </c>
      <c r="K664" s="12">
        <v>2400</v>
      </c>
      <c r="L664" s="12">
        <v>12241</v>
      </c>
      <c r="M664" s="11">
        <f>L664*4+AI664-AJ664</f>
        <v>48964</v>
      </c>
      <c r="N664" s="13"/>
      <c r="O664" s="12"/>
      <c r="P664" s="12"/>
      <c r="Q664" s="12"/>
      <c r="R664" s="12"/>
      <c r="S664" s="12"/>
      <c r="T664" s="12">
        <v>12991</v>
      </c>
      <c r="U664" s="12"/>
      <c r="V664" s="12"/>
      <c r="W664" s="12"/>
      <c r="X664" s="12"/>
      <c r="Y664" s="12"/>
      <c r="Z664" s="12"/>
      <c r="AA664" s="12"/>
      <c r="AB664" s="12"/>
      <c r="AC664" s="12"/>
      <c r="AD664" s="12"/>
      <c r="AE664" s="12"/>
      <c r="AF664" s="13">
        <f>H664+I664+J664+K664+M664-N664</f>
        <v>51514</v>
      </c>
      <c r="AG664" s="13">
        <f>SUM(O664:AE664)</f>
        <v>12991</v>
      </c>
      <c r="AH664" s="13">
        <f>AF664-AG664</f>
        <v>38523</v>
      </c>
      <c r="AI664" s="12"/>
      <c r="AJ664" s="12"/>
      <c r="AK664" s="12"/>
    </row>
    <row r="665" spans="1:37">
      <c r="A665" s="10">
        <v>6</v>
      </c>
      <c r="B665" s="11">
        <v>1608</v>
      </c>
      <c r="C665" s="10" t="s">
        <v>695</v>
      </c>
      <c r="D665" s="11" t="s">
        <v>23</v>
      </c>
      <c r="E665" s="11"/>
      <c r="F665" s="11" t="s">
        <v>663</v>
      </c>
      <c r="G665" s="11" t="s">
        <v>62</v>
      </c>
      <c r="H665" s="9"/>
      <c r="I665" s="12"/>
      <c r="J665" s="12">
        <v>150</v>
      </c>
      <c r="K665" s="12">
        <v>2400</v>
      </c>
      <c r="L665" s="12">
        <v>12241</v>
      </c>
      <c r="M665" s="11">
        <f>L665*4+AI665-AJ665</f>
        <v>48964</v>
      </c>
      <c r="N665" s="13"/>
      <c r="O665" s="12"/>
      <c r="P665" s="12"/>
      <c r="Q665" s="12"/>
      <c r="R665" s="12"/>
      <c r="S665" s="12"/>
      <c r="T665" s="12"/>
      <c r="U665" s="12">
        <v>12991</v>
      </c>
      <c r="V665" s="12"/>
      <c r="W665" s="12"/>
      <c r="X665" s="12"/>
      <c r="Y665" s="12"/>
      <c r="Z665" s="12"/>
      <c r="AA665" s="12"/>
      <c r="AB665" s="12"/>
      <c r="AC665" s="12"/>
      <c r="AD665" s="12"/>
      <c r="AE665" s="12"/>
      <c r="AF665" s="13">
        <f>H665+I665+J665+K665+M665-N665</f>
        <v>51514</v>
      </c>
      <c r="AG665" s="13">
        <f>SUM(O665:AE665)</f>
        <v>12991</v>
      </c>
      <c r="AH665" s="13">
        <f>AF665-AG665</f>
        <v>38523</v>
      </c>
      <c r="AI665" s="12"/>
      <c r="AJ665" s="12"/>
      <c r="AK665" s="12"/>
    </row>
    <row r="666" spans="1:37" customHeight="1" ht="25.5">
      <c r="A666" s="10">
        <v>7</v>
      </c>
      <c r="B666" s="27">
        <v>995</v>
      </c>
      <c r="C666" s="26" t="s">
        <v>696</v>
      </c>
      <c r="D666" s="27" t="s">
        <v>28</v>
      </c>
      <c r="E666" s="27"/>
      <c r="F666" s="27" t="s">
        <v>663</v>
      </c>
      <c r="G666" s="27" t="s">
        <v>62</v>
      </c>
      <c r="H666" s="9"/>
      <c r="I666" s="12"/>
      <c r="J666" s="12">
        <v>150</v>
      </c>
      <c r="K666" s="12">
        <v>2400</v>
      </c>
      <c r="L666" s="12">
        <v>6121</v>
      </c>
      <c r="M666" s="11">
        <f>L666*4+AI666-AJ666</f>
        <v>24484</v>
      </c>
      <c r="N666" s="13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  <c r="AA666" s="12"/>
      <c r="AB666" s="12"/>
      <c r="AC666" s="12"/>
      <c r="AD666" s="12"/>
      <c r="AE666" s="12"/>
      <c r="AF666" s="13">
        <f>H666+I666+J666+K666+M666-N666</f>
        <v>27034</v>
      </c>
      <c r="AG666" s="13">
        <f>SUM(O666:AE666)</f>
        <v>0</v>
      </c>
      <c r="AH666" s="13">
        <f>AF666-AG666</f>
        <v>27034</v>
      </c>
      <c r="AI666" s="12"/>
      <c r="AJ666" s="12"/>
      <c r="AK666" s="12"/>
    </row>
    <row r="667" spans="1:37">
      <c r="A667" s="10">
        <v>8</v>
      </c>
      <c r="B667" s="11">
        <v>1030</v>
      </c>
      <c r="C667" s="10" t="s">
        <v>697</v>
      </c>
      <c r="D667" s="11" t="s">
        <v>28</v>
      </c>
      <c r="E667" s="11"/>
      <c r="F667" s="11" t="s">
        <v>663</v>
      </c>
      <c r="G667" s="11" t="s">
        <v>62</v>
      </c>
      <c r="H667" s="9"/>
      <c r="I667" s="12"/>
      <c r="J667" s="12">
        <v>150</v>
      </c>
      <c r="K667" s="12">
        <v>2400</v>
      </c>
      <c r="L667" s="12">
        <v>12241</v>
      </c>
      <c r="M667" s="11">
        <f>L667*4+AI667-AJ667</f>
        <v>48964</v>
      </c>
      <c r="N667" s="13"/>
      <c r="O667" s="12"/>
      <c r="P667" s="12"/>
      <c r="Q667" s="12"/>
      <c r="R667" s="12"/>
      <c r="S667" s="12"/>
      <c r="T667" s="12">
        <v>12991</v>
      </c>
      <c r="U667" s="12"/>
      <c r="V667" s="12">
        <v>12841</v>
      </c>
      <c r="W667" s="12"/>
      <c r="X667" s="12"/>
      <c r="Y667" s="12"/>
      <c r="Z667" s="12"/>
      <c r="AA667" s="12"/>
      <c r="AB667" s="12"/>
      <c r="AC667" s="12"/>
      <c r="AD667" s="12"/>
      <c r="AE667" s="12"/>
      <c r="AF667" s="13">
        <f>H667+I667+J667+K667+M667-N667</f>
        <v>51514</v>
      </c>
      <c r="AG667" s="13">
        <f>SUM(O667:AE667)</f>
        <v>25832</v>
      </c>
      <c r="AH667" s="13">
        <f>AF667-AG667</f>
        <v>25682</v>
      </c>
      <c r="AI667" s="12"/>
      <c r="AJ667" s="12"/>
      <c r="AK667" s="12"/>
    </row>
    <row r="668" spans="1:37">
      <c r="A668" s="10">
        <v>9</v>
      </c>
      <c r="B668" s="16">
        <v>1993</v>
      </c>
      <c r="C668" s="16" t="s">
        <v>698</v>
      </c>
      <c r="D668" s="16" t="s">
        <v>28</v>
      </c>
      <c r="E668" s="16"/>
      <c r="F668" s="11" t="s">
        <v>663</v>
      </c>
      <c r="G668" s="41" t="s">
        <v>62</v>
      </c>
      <c r="H668" s="9"/>
      <c r="I668" s="12"/>
      <c r="J668" s="12">
        <v>150</v>
      </c>
      <c r="K668" s="12">
        <v>2400</v>
      </c>
      <c r="L668" s="12">
        <v>12241</v>
      </c>
      <c r="M668" s="11">
        <f>L668*4+AI668-AJ668</f>
        <v>48964</v>
      </c>
      <c r="N668" s="13">
        <v>2448</v>
      </c>
      <c r="O668" s="12"/>
      <c r="P668" s="12"/>
      <c r="Q668" s="12"/>
      <c r="R668" s="12"/>
      <c r="S668" s="12">
        <v>49066</v>
      </c>
      <c r="T668" s="12"/>
      <c r="U668" s="12"/>
      <c r="V668" s="12"/>
      <c r="W668" s="12"/>
      <c r="X668" s="12"/>
      <c r="Y668" s="12"/>
      <c r="Z668" s="12"/>
      <c r="AA668" s="12"/>
      <c r="AB668" s="12"/>
      <c r="AC668" s="12"/>
      <c r="AD668" s="12"/>
      <c r="AE668" s="12"/>
      <c r="AF668" s="13">
        <f>H668+I668+J668+K668+M668-N668</f>
        <v>49066</v>
      </c>
      <c r="AG668" s="13">
        <f>SUM(O668:AE668)</f>
        <v>49066</v>
      </c>
      <c r="AH668" s="13">
        <f>AF668-AG668</f>
        <v>0</v>
      </c>
      <c r="AI668" s="12"/>
      <c r="AJ668" s="12"/>
      <c r="AK668" s="12"/>
    </row>
    <row r="669" spans="1:37">
      <c r="A669" s="10">
        <v>10</v>
      </c>
      <c r="B669" s="27">
        <v>1587</v>
      </c>
      <c r="C669" s="26" t="s">
        <v>699</v>
      </c>
      <c r="D669" s="27" t="s">
        <v>28</v>
      </c>
      <c r="E669" s="27"/>
      <c r="F669" s="27" t="s">
        <v>663</v>
      </c>
      <c r="G669" s="27" t="s">
        <v>62</v>
      </c>
      <c r="H669" s="9"/>
      <c r="I669" s="12"/>
      <c r="J669" s="12">
        <v>150</v>
      </c>
      <c r="K669" s="12">
        <v>2400</v>
      </c>
      <c r="L669" s="12">
        <v>6121</v>
      </c>
      <c r="M669" s="11">
        <f>L669*4+AI669-AJ669</f>
        <v>24484</v>
      </c>
      <c r="N669" s="13">
        <v>1226</v>
      </c>
      <c r="O669" s="12"/>
      <c r="P669" s="12"/>
      <c r="Q669" s="12"/>
      <c r="R669" s="12"/>
      <c r="S669" s="12">
        <v>25808</v>
      </c>
      <c r="T669" s="12"/>
      <c r="U669" s="12"/>
      <c r="V669" s="12"/>
      <c r="W669" s="12"/>
      <c r="X669" s="12"/>
      <c r="Y669" s="12"/>
      <c r="Z669" s="12"/>
      <c r="AA669" s="12"/>
      <c r="AB669" s="12"/>
      <c r="AC669" s="12"/>
      <c r="AD669" s="12"/>
      <c r="AE669" s="12"/>
      <c r="AF669" s="13">
        <f>H669+I669+J669+K669+M669-N669</f>
        <v>25808</v>
      </c>
      <c r="AG669" s="13">
        <f>SUM(O669:AE669)</f>
        <v>25808</v>
      </c>
      <c r="AH669" s="13">
        <f>AF669-AG669</f>
        <v>0</v>
      </c>
      <c r="AI669" s="12"/>
      <c r="AJ669" s="12"/>
      <c r="AK669" s="12"/>
    </row>
    <row r="670" spans="1:37">
      <c r="A670" s="10">
        <v>11</v>
      </c>
      <c r="B670" s="16">
        <v>2074</v>
      </c>
      <c r="C670" s="16" t="s">
        <v>700</v>
      </c>
      <c r="D670" s="16" t="s">
        <v>28</v>
      </c>
      <c r="E670" s="16"/>
      <c r="F670" s="11" t="s">
        <v>663</v>
      </c>
      <c r="G670" s="12" t="s">
        <v>62</v>
      </c>
      <c r="H670" s="9"/>
      <c r="I670" s="12"/>
      <c r="J670" s="12">
        <v>150</v>
      </c>
      <c r="K670" s="12">
        <v>2400</v>
      </c>
      <c r="L670" s="12">
        <v>12241</v>
      </c>
      <c r="M670" s="11">
        <f>L670*4+AI670-AJ670</f>
        <v>48964</v>
      </c>
      <c r="N670" s="13"/>
      <c r="O670" s="9"/>
      <c r="P670" s="12"/>
      <c r="Q670" s="12"/>
      <c r="R670" s="12"/>
      <c r="S670" s="12"/>
      <c r="T670" s="12">
        <v>12991</v>
      </c>
      <c r="U670" s="12"/>
      <c r="V670" s="12"/>
      <c r="W670" s="12"/>
      <c r="X670" s="12"/>
      <c r="Y670" s="12"/>
      <c r="Z670" s="12"/>
      <c r="AA670" s="12"/>
      <c r="AB670" s="12"/>
      <c r="AC670" s="12"/>
      <c r="AD670" s="12"/>
      <c r="AE670" s="12"/>
      <c r="AF670" s="13">
        <f>H670+I670+J670+K670+M670-N670</f>
        <v>51514</v>
      </c>
      <c r="AG670" s="13">
        <f>SUM(O670:AE670)</f>
        <v>12991</v>
      </c>
      <c r="AH670" s="13">
        <f>AF670-AG670</f>
        <v>38523</v>
      </c>
      <c r="AI670" s="12"/>
      <c r="AJ670" s="12"/>
      <c r="AK670" s="12"/>
    </row>
    <row r="671" spans="1:37">
      <c r="A671" s="10">
        <v>12</v>
      </c>
      <c r="B671" s="11">
        <v>1544</v>
      </c>
      <c r="C671" s="10" t="s">
        <v>701</v>
      </c>
      <c r="D671" s="11" t="s">
        <v>23</v>
      </c>
      <c r="E671" s="11"/>
      <c r="F671" s="11" t="s">
        <v>663</v>
      </c>
      <c r="G671" s="11" t="s">
        <v>62</v>
      </c>
      <c r="H671" s="9"/>
      <c r="I671" s="12"/>
      <c r="J671" s="12">
        <v>150</v>
      </c>
      <c r="K671" s="12">
        <v>2400</v>
      </c>
      <c r="L671" s="12">
        <v>12241</v>
      </c>
      <c r="M671" s="11">
        <f>L671*4+AI671-AJ671</f>
        <v>49014</v>
      </c>
      <c r="N671" s="13"/>
      <c r="O671" s="12"/>
      <c r="P671" s="12"/>
      <c r="Q671" s="12"/>
      <c r="R671" s="12"/>
      <c r="S671" s="12"/>
      <c r="T671" s="12">
        <v>12991</v>
      </c>
      <c r="U671" s="12"/>
      <c r="V671" s="12"/>
      <c r="W671" s="12"/>
      <c r="X671" s="12"/>
      <c r="Y671" s="12"/>
      <c r="Z671" s="12"/>
      <c r="AA671" s="12"/>
      <c r="AB671" s="12"/>
      <c r="AC671" s="12"/>
      <c r="AD671" s="12"/>
      <c r="AE671" s="12"/>
      <c r="AF671" s="13">
        <f>H671+I671+J671+K671+M671-N671</f>
        <v>51564</v>
      </c>
      <c r="AG671" s="13">
        <f>SUM(O671:AE671)</f>
        <v>12991</v>
      </c>
      <c r="AH671" s="13">
        <f>AF671-AG671</f>
        <v>38573</v>
      </c>
      <c r="AI671" s="12">
        <v>50</v>
      </c>
      <c r="AJ671" s="12"/>
      <c r="AK671" s="12"/>
    </row>
    <row r="672" spans="1:37">
      <c r="A672" s="10">
        <v>13</v>
      </c>
      <c r="B672" s="11">
        <v>1738</v>
      </c>
      <c r="C672" s="10" t="s">
        <v>702</v>
      </c>
      <c r="D672" s="11" t="s">
        <v>23</v>
      </c>
      <c r="E672" s="11"/>
      <c r="F672" s="11" t="s">
        <v>663</v>
      </c>
      <c r="G672" s="11" t="s">
        <v>62</v>
      </c>
      <c r="H672" s="9"/>
      <c r="I672" s="12"/>
      <c r="J672" s="12">
        <v>150</v>
      </c>
      <c r="K672" s="12">
        <v>2400</v>
      </c>
      <c r="L672" s="12">
        <v>12241</v>
      </c>
      <c r="M672" s="11">
        <f>L672*4+AI672-AJ672</f>
        <v>48964</v>
      </c>
      <c r="N672" s="13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  <c r="AA672" s="12"/>
      <c r="AB672" s="12"/>
      <c r="AC672" s="12"/>
      <c r="AD672" s="12"/>
      <c r="AE672" s="12"/>
      <c r="AF672" s="13">
        <f>H672+I672+J672+K672+M672-N672</f>
        <v>51514</v>
      </c>
      <c r="AG672" s="13">
        <f>SUM(O672:AE672)</f>
        <v>0</v>
      </c>
      <c r="AH672" s="13">
        <f>AF672-AG672</f>
        <v>51514</v>
      </c>
      <c r="AI672" s="12"/>
      <c r="AJ672" s="12"/>
      <c r="AK672" s="12"/>
    </row>
    <row r="673" spans="1:37">
      <c r="A673" s="10">
        <v>14</v>
      </c>
      <c r="B673" s="23">
        <v>2097</v>
      </c>
      <c r="C673" s="23" t="s">
        <v>703</v>
      </c>
      <c r="D673" s="23" t="s">
        <v>23</v>
      </c>
      <c r="E673" s="23"/>
      <c r="F673" s="27" t="s">
        <v>663</v>
      </c>
      <c r="G673" s="24" t="s">
        <v>62</v>
      </c>
      <c r="H673" s="9"/>
      <c r="I673" s="12"/>
      <c r="J673" s="12">
        <v>150</v>
      </c>
      <c r="K673" s="12">
        <v>2400</v>
      </c>
      <c r="L673" s="12">
        <v>6121</v>
      </c>
      <c r="M673" s="11">
        <f>L673*4+AI673-AJ673</f>
        <v>24484</v>
      </c>
      <c r="N673" s="13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  <c r="AA673" s="12"/>
      <c r="AB673" s="12"/>
      <c r="AC673" s="12"/>
      <c r="AD673" s="12"/>
      <c r="AE673" s="12"/>
      <c r="AF673" s="13">
        <f>H673+I673+J673+K673+M673-N673</f>
        <v>27034</v>
      </c>
      <c r="AG673" s="13">
        <f>SUM(O673:AE673)</f>
        <v>0</v>
      </c>
      <c r="AH673" s="13">
        <f>AF673-AG673</f>
        <v>27034</v>
      </c>
      <c r="AI673" s="12"/>
      <c r="AJ673" s="12"/>
      <c r="AK673" s="12"/>
    </row>
    <row r="674" spans="1:37">
      <c r="A674" s="10">
        <v>15</v>
      </c>
      <c r="B674" s="11">
        <v>974</v>
      </c>
      <c r="C674" s="10" t="s">
        <v>704</v>
      </c>
      <c r="D674" s="11" t="s">
        <v>28</v>
      </c>
      <c r="E674" s="11"/>
      <c r="F674" s="11" t="s">
        <v>663</v>
      </c>
      <c r="G674" s="11" t="s">
        <v>62</v>
      </c>
      <c r="H674" s="9"/>
      <c r="I674" s="12"/>
      <c r="J674" s="12">
        <v>150</v>
      </c>
      <c r="K674" s="12">
        <v>2400</v>
      </c>
      <c r="L674" s="12">
        <v>12241</v>
      </c>
      <c r="M674" s="11">
        <f>L674*4+AI674-AJ674</f>
        <v>48964</v>
      </c>
      <c r="N674" s="13"/>
      <c r="O674" s="12"/>
      <c r="P674" s="12"/>
      <c r="Q674" s="12"/>
      <c r="R674" s="12"/>
      <c r="S674" s="12"/>
      <c r="T674" s="12">
        <v>12991</v>
      </c>
      <c r="U674" s="12"/>
      <c r="V674" s="12"/>
      <c r="W674" s="12"/>
      <c r="X674" s="12"/>
      <c r="Y674" s="12"/>
      <c r="Z674" s="12"/>
      <c r="AA674" s="12"/>
      <c r="AB674" s="12"/>
      <c r="AC674" s="12"/>
      <c r="AD674" s="12"/>
      <c r="AE674" s="12"/>
      <c r="AF674" s="13">
        <f>H674+I674+J674+K674+M674-N674</f>
        <v>51514</v>
      </c>
      <c r="AG674" s="13">
        <f>SUM(O674:AE674)</f>
        <v>12991</v>
      </c>
      <c r="AH674" s="13">
        <f>AF674-AG674</f>
        <v>38523</v>
      </c>
      <c r="AI674" s="12"/>
      <c r="AJ674" s="12"/>
      <c r="AK674" s="12"/>
    </row>
    <row r="675" spans="1:37">
      <c r="A675" s="10">
        <v>16</v>
      </c>
      <c r="B675" s="11">
        <v>1005</v>
      </c>
      <c r="C675" s="10" t="s">
        <v>705</v>
      </c>
      <c r="D675" s="11" t="s">
        <v>23</v>
      </c>
      <c r="E675" s="11"/>
      <c r="F675" s="11" t="s">
        <v>663</v>
      </c>
      <c r="G675" s="11" t="s">
        <v>62</v>
      </c>
      <c r="H675" s="9"/>
      <c r="I675" s="12"/>
      <c r="J675" s="12">
        <v>150</v>
      </c>
      <c r="K675" s="12">
        <v>2400</v>
      </c>
      <c r="L675" s="12">
        <v>12241</v>
      </c>
      <c r="M675" s="11">
        <f>L675*4+AI675-AJ675</f>
        <v>60642</v>
      </c>
      <c r="N675" s="13">
        <v>2448</v>
      </c>
      <c r="O675" s="12"/>
      <c r="P675" s="12"/>
      <c r="Q675" s="12"/>
      <c r="R675" s="12"/>
      <c r="S675" s="12">
        <v>49066</v>
      </c>
      <c r="T675" s="12"/>
      <c r="U675" s="12"/>
      <c r="V675" s="12"/>
      <c r="W675" s="12"/>
      <c r="X675" s="12"/>
      <c r="Y675" s="12"/>
      <c r="Z675" s="12"/>
      <c r="AA675" s="12"/>
      <c r="AB675" s="12"/>
      <c r="AC675" s="12"/>
      <c r="AD675" s="12"/>
      <c r="AE675" s="12"/>
      <c r="AF675" s="13">
        <f>H675+I675+J675+K675+M675-N675</f>
        <v>60744</v>
      </c>
      <c r="AG675" s="13">
        <f>SUM(O675:AE675)</f>
        <v>49066</v>
      </c>
      <c r="AH675" s="13">
        <f>AF675-AG675</f>
        <v>11678</v>
      </c>
      <c r="AI675" s="12">
        <v>11678</v>
      </c>
      <c r="AJ675" s="12"/>
      <c r="AK675" s="12"/>
    </row>
    <row r="676" spans="1:37" customHeight="1" ht="25.5">
      <c r="A676" s="10">
        <v>17</v>
      </c>
      <c r="B676" s="11">
        <v>894</v>
      </c>
      <c r="C676" s="10" t="s">
        <v>706</v>
      </c>
      <c r="D676" s="11" t="s">
        <v>28</v>
      </c>
      <c r="E676" s="11"/>
      <c r="F676" s="11" t="s">
        <v>663</v>
      </c>
      <c r="G676" s="11" t="s">
        <v>62</v>
      </c>
      <c r="H676" s="9"/>
      <c r="I676" s="12"/>
      <c r="J676" s="12">
        <v>150</v>
      </c>
      <c r="K676" s="12">
        <v>2400</v>
      </c>
      <c r="L676" s="12">
        <v>12241</v>
      </c>
      <c r="M676" s="11">
        <f>L676*4+AI676-AJ676</f>
        <v>48964</v>
      </c>
      <c r="N676" s="13"/>
      <c r="O676" s="12"/>
      <c r="P676" s="12"/>
      <c r="Q676" s="12"/>
      <c r="R676" s="12"/>
      <c r="S676" s="12"/>
      <c r="T676" s="12">
        <v>12991</v>
      </c>
      <c r="U676" s="12"/>
      <c r="V676" s="12"/>
      <c r="W676" s="12"/>
      <c r="X676" s="12"/>
      <c r="Y676" s="12"/>
      <c r="Z676" s="12"/>
      <c r="AA676" s="12"/>
      <c r="AB676" s="12"/>
      <c r="AC676" s="12"/>
      <c r="AD676" s="12"/>
      <c r="AE676" s="12"/>
      <c r="AF676" s="13">
        <f>H676+I676+J676+K676+M676-N676</f>
        <v>51514</v>
      </c>
      <c r="AG676" s="13">
        <f>SUM(O676:AE676)</f>
        <v>12991</v>
      </c>
      <c r="AH676" s="13">
        <f>AF676-AG676</f>
        <v>38523</v>
      </c>
      <c r="AI676" s="12"/>
      <c r="AJ676" s="12"/>
      <c r="AK676" s="12"/>
    </row>
    <row r="677" spans="1:37">
      <c r="A677" s="10">
        <v>18</v>
      </c>
      <c r="B677" s="23">
        <v>2077</v>
      </c>
      <c r="C677" s="23" t="s">
        <v>707</v>
      </c>
      <c r="D677" s="23" t="s">
        <v>23</v>
      </c>
      <c r="E677" s="23"/>
      <c r="F677" s="27" t="s">
        <v>663</v>
      </c>
      <c r="G677" s="24" t="s">
        <v>62</v>
      </c>
      <c r="H677" s="9"/>
      <c r="I677" s="12"/>
      <c r="J677" s="12">
        <v>150</v>
      </c>
      <c r="K677" s="12">
        <v>2400</v>
      </c>
      <c r="L677" s="12">
        <v>6121</v>
      </c>
      <c r="M677" s="11">
        <f>L677*4+AI677-AJ677</f>
        <v>24484</v>
      </c>
      <c r="N677" s="13"/>
      <c r="O677" s="9"/>
      <c r="P677" s="12"/>
      <c r="Q677" s="12"/>
      <c r="R677" s="12"/>
      <c r="S677" s="12">
        <v>6871</v>
      </c>
      <c r="T677" s="12"/>
      <c r="U677" s="12"/>
      <c r="V677" s="12"/>
      <c r="W677" s="12"/>
      <c r="X677" s="12"/>
      <c r="Y677" s="12"/>
      <c r="Z677" s="12"/>
      <c r="AA677" s="12"/>
      <c r="AB677" s="12"/>
      <c r="AC677" s="12"/>
      <c r="AD677" s="12"/>
      <c r="AE677" s="12"/>
      <c r="AF677" s="13">
        <f>H677+I677+J677+K677+M677-N677</f>
        <v>27034</v>
      </c>
      <c r="AG677" s="13">
        <f>SUM(O677:AE677)</f>
        <v>6871</v>
      </c>
      <c r="AH677" s="13">
        <f>AF677-AG677</f>
        <v>20163</v>
      </c>
      <c r="AI677" s="12"/>
      <c r="AJ677" s="12"/>
      <c r="AK677" s="12"/>
    </row>
    <row r="678" spans="1:37">
      <c r="A678" s="10">
        <v>19</v>
      </c>
      <c r="B678" s="11">
        <v>1882</v>
      </c>
      <c r="C678" s="10" t="s">
        <v>708</v>
      </c>
      <c r="D678" s="11" t="s">
        <v>23</v>
      </c>
      <c r="E678" s="11"/>
      <c r="F678" s="11" t="s">
        <v>663</v>
      </c>
      <c r="G678" s="11" t="s">
        <v>62</v>
      </c>
      <c r="H678" s="9"/>
      <c r="I678" s="12"/>
      <c r="J678" s="12">
        <v>150</v>
      </c>
      <c r="K678" s="12">
        <v>2400</v>
      </c>
      <c r="L678" s="12">
        <v>12241</v>
      </c>
      <c r="M678" s="11">
        <f>L678*4+AI678-AJ678</f>
        <v>48964</v>
      </c>
      <c r="N678" s="13"/>
      <c r="O678" s="12"/>
      <c r="P678" s="12"/>
      <c r="Q678" s="12"/>
      <c r="R678" s="12"/>
      <c r="S678" s="12"/>
      <c r="T678" s="12">
        <v>12991</v>
      </c>
      <c r="U678" s="12"/>
      <c r="V678" s="12"/>
      <c r="W678" s="12"/>
      <c r="X678" s="12"/>
      <c r="Y678" s="12"/>
      <c r="Z678" s="12"/>
      <c r="AA678" s="12"/>
      <c r="AB678" s="12"/>
      <c r="AC678" s="12"/>
      <c r="AD678" s="12"/>
      <c r="AE678" s="12"/>
      <c r="AF678" s="13">
        <f>H678+I678+J678+K678+M678-N678</f>
        <v>51514</v>
      </c>
      <c r="AG678" s="13">
        <f>SUM(O678:AE678)</f>
        <v>12991</v>
      </c>
      <c r="AH678" s="13">
        <f>AF678-AG678</f>
        <v>38523</v>
      </c>
      <c r="AI678" s="12"/>
      <c r="AJ678" s="12"/>
      <c r="AK678" s="12"/>
    </row>
    <row r="679" spans="1:37">
      <c r="A679" s="10">
        <v>20</v>
      </c>
      <c r="B679" s="11">
        <v>1358</v>
      </c>
      <c r="C679" s="10" t="s">
        <v>709</v>
      </c>
      <c r="D679" s="11" t="s">
        <v>28</v>
      </c>
      <c r="E679" s="11"/>
      <c r="F679" s="11" t="s">
        <v>663</v>
      </c>
      <c r="G679" s="11" t="s">
        <v>62</v>
      </c>
      <c r="H679" s="9"/>
      <c r="I679" s="12"/>
      <c r="J679" s="12">
        <v>150</v>
      </c>
      <c r="K679" s="12">
        <v>2400</v>
      </c>
      <c r="L679" s="12">
        <v>12241</v>
      </c>
      <c r="M679" s="11">
        <f>L679*4+AI679-AJ679</f>
        <v>48964</v>
      </c>
      <c r="N679" s="13"/>
      <c r="O679" s="12"/>
      <c r="P679" s="12"/>
      <c r="Q679" s="12"/>
      <c r="R679" s="12"/>
      <c r="S679" s="12">
        <v>12991</v>
      </c>
      <c r="T679" s="12"/>
      <c r="U679" s="12"/>
      <c r="V679" s="12"/>
      <c r="W679" s="12"/>
      <c r="X679" s="12"/>
      <c r="Y679" s="12"/>
      <c r="Z679" s="12"/>
      <c r="AA679" s="12"/>
      <c r="AB679" s="12"/>
      <c r="AC679" s="12"/>
      <c r="AD679" s="12"/>
      <c r="AE679" s="12"/>
      <c r="AF679" s="13">
        <f>H679+I679+J679+K679+M679-N679</f>
        <v>51514</v>
      </c>
      <c r="AG679" s="13">
        <f>SUM(O679:AE679)</f>
        <v>12991</v>
      </c>
      <c r="AH679" s="13">
        <f>AF679-AG679</f>
        <v>38523</v>
      </c>
      <c r="AI679" s="12"/>
      <c r="AJ679" s="12"/>
      <c r="AK679" s="12"/>
    </row>
    <row r="680" spans="1:37">
      <c r="A680" s="10">
        <v>21</v>
      </c>
      <c r="B680" s="11">
        <v>1895</v>
      </c>
      <c r="C680" s="10" t="s">
        <v>710</v>
      </c>
      <c r="D680" s="11" t="s">
        <v>28</v>
      </c>
      <c r="E680" s="11"/>
      <c r="F680" s="11" t="s">
        <v>663</v>
      </c>
      <c r="G680" s="11" t="s">
        <v>62</v>
      </c>
      <c r="H680" s="9"/>
      <c r="I680" s="12"/>
      <c r="J680" s="12">
        <v>150</v>
      </c>
      <c r="K680" s="12">
        <v>2400</v>
      </c>
      <c r="L680" s="12">
        <v>12241</v>
      </c>
      <c r="M680" s="11">
        <f>L680*4+AI680-AJ680</f>
        <v>48964</v>
      </c>
      <c r="N680" s="13"/>
      <c r="O680" s="12"/>
      <c r="P680" s="12"/>
      <c r="Q680" s="12"/>
      <c r="R680" s="12"/>
      <c r="S680" s="12"/>
      <c r="T680" s="12"/>
      <c r="U680" s="12"/>
      <c r="V680" s="12">
        <v>25832</v>
      </c>
      <c r="W680" s="12"/>
      <c r="X680" s="12"/>
      <c r="Y680" s="12"/>
      <c r="Z680" s="12"/>
      <c r="AA680" s="12"/>
      <c r="AB680" s="12"/>
      <c r="AC680" s="12"/>
      <c r="AD680" s="12"/>
      <c r="AE680" s="12"/>
      <c r="AF680" s="13">
        <f>H680+I680+J680+K680+M680-N680</f>
        <v>51514</v>
      </c>
      <c r="AG680" s="13">
        <f>SUM(O680:AE680)</f>
        <v>25832</v>
      </c>
      <c r="AH680" s="13">
        <f>AF680-AG680</f>
        <v>25682</v>
      </c>
      <c r="AI680" s="12"/>
      <c r="AJ680" s="12"/>
      <c r="AK680" s="12">
        <v>300</v>
      </c>
    </row>
    <row r="681" spans="1:37">
      <c r="A681" s="10">
        <v>22</v>
      </c>
      <c r="B681" s="16">
        <v>2087</v>
      </c>
      <c r="C681" s="16" t="s">
        <v>711</v>
      </c>
      <c r="D681" s="16" t="s">
        <v>28</v>
      </c>
      <c r="E681" s="16"/>
      <c r="F681" s="11" t="s">
        <v>663</v>
      </c>
      <c r="G681" s="12" t="s">
        <v>62</v>
      </c>
      <c r="H681" s="9"/>
      <c r="I681" s="12"/>
      <c r="J681" s="12">
        <v>150</v>
      </c>
      <c r="K681" s="12">
        <v>2400</v>
      </c>
      <c r="L681" s="12">
        <v>12241</v>
      </c>
      <c r="M681" s="11">
        <f>L681*4+AI681-AJ681</f>
        <v>48964</v>
      </c>
      <c r="N681" s="13"/>
      <c r="O681" s="9"/>
      <c r="P681" s="12"/>
      <c r="Q681" s="12"/>
      <c r="R681" s="12"/>
      <c r="S681" s="12"/>
      <c r="T681" s="12">
        <v>12991</v>
      </c>
      <c r="U681" s="12"/>
      <c r="V681" s="12"/>
      <c r="W681" s="12"/>
      <c r="X681" s="12"/>
      <c r="Y681" s="12"/>
      <c r="Z681" s="12"/>
      <c r="AA681" s="12"/>
      <c r="AB681" s="12"/>
      <c r="AC681" s="12"/>
      <c r="AD681" s="12"/>
      <c r="AE681" s="12"/>
      <c r="AF681" s="13">
        <f>H681+I681+J681+K681+M681-N681</f>
        <v>51514</v>
      </c>
      <c r="AG681" s="13">
        <f>SUM(O681:AE681)</f>
        <v>12991</v>
      </c>
      <c r="AH681" s="13">
        <f>AF681-AG681</f>
        <v>38523</v>
      </c>
      <c r="AI681" s="12"/>
      <c r="AJ681" s="12"/>
      <c r="AK681" s="12"/>
    </row>
    <row r="682" spans="1:37">
      <c r="A682" s="10">
        <v>23</v>
      </c>
      <c r="B682" s="11">
        <v>1119</v>
      </c>
      <c r="C682" s="10" t="s">
        <v>712</v>
      </c>
      <c r="D682" s="11" t="s">
        <v>23</v>
      </c>
      <c r="E682" s="11"/>
      <c r="F682" s="11" t="s">
        <v>663</v>
      </c>
      <c r="G682" s="11" t="s">
        <v>62</v>
      </c>
      <c r="H682" s="9"/>
      <c r="I682" s="12"/>
      <c r="J682" s="12">
        <v>150</v>
      </c>
      <c r="K682" s="12">
        <v>2400</v>
      </c>
      <c r="L682" s="12">
        <v>12241</v>
      </c>
      <c r="M682" s="11">
        <f>L682*4+AI682-AJ682</f>
        <v>48964</v>
      </c>
      <c r="N682" s="13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  <c r="AA682" s="12"/>
      <c r="AB682" s="12"/>
      <c r="AC682" s="12"/>
      <c r="AD682" s="12"/>
      <c r="AE682" s="12"/>
      <c r="AF682" s="13">
        <f>H682+I682+J682+K682+M682-N682</f>
        <v>51514</v>
      </c>
      <c r="AG682" s="13">
        <f>SUM(O682:AE682)</f>
        <v>0</v>
      </c>
      <c r="AH682" s="13">
        <f>AF682-AG682</f>
        <v>51514</v>
      </c>
      <c r="AI682" s="12"/>
      <c r="AJ682" s="12"/>
      <c r="AK682" s="12"/>
    </row>
    <row r="683" spans="1:37">
      <c r="A683" s="10">
        <v>24</v>
      </c>
      <c r="B683" s="11">
        <v>1926</v>
      </c>
      <c r="C683" s="10" t="s">
        <v>713</v>
      </c>
      <c r="D683" s="11" t="s">
        <v>23</v>
      </c>
      <c r="E683" s="11"/>
      <c r="F683" s="11" t="s">
        <v>663</v>
      </c>
      <c r="G683" s="11" t="s">
        <v>62</v>
      </c>
      <c r="H683" s="9"/>
      <c r="I683" s="12"/>
      <c r="J683" s="12">
        <v>150</v>
      </c>
      <c r="K683" s="12">
        <v>2400</v>
      </c>
      <c r="L683" s="12">
        <v>12241</v>
      </c>
      <c r="M683" s="11">
        <f>L683*4+AI683-AJ683</f>
        <v>48964</v>
      </c>
      <c r="N683" s="13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  <c r="AA683" s="12"/>
      <c r="AB683" s="12"/>
      <c r="AC683" s="12"/>
      <c r="AD683" s="12"/>
      <c r="AE683" s="12"/>
      <c r="AF683" s="13">
        <f>H683+I683+J683+K683+M683-N683</f>
        <v>51514</v>
      </c>
      <c r="AG683" s="13">
        <f>SUM(O683:AE683)</f>
        <v>0</v>
      </c>
      <c r="AH683" s="13">
        <f>AF683-AG683</f>
        <v>51514</v>
      </c>
      <c r="AI683" s="12"/>
      <c r="AJ683" s="12"/>
      <c r="AK683" s="12"/>
    </row>
    <row r="684" spans="1:37">
      <c r="A684" s="10">
        <v>25</v>
      </c>
      <c r="B684" s="11">
        <v>1927</v>
      </c>
      <c r="C684" s="10" t="s">
        <v>714</v>
      </c>
      <c r="D684" s="11" t="s">
        <v>23</v>
      </c>
      <c r="E684" s="11"/>
      <c r="F684" s="11" t="s">
        <v>663</v>
      </c>
      <c r="G684" s="11" t="s">
        <v>62</v>
      </c>
      <c r="H684" s="9"/>
      <c r="I684" s="12"/>
      <c r="J684" s="12">
        <v>150</v>
      </c>
      <c r="K684" s="12">
        <v>2400</v>
      </c>
      <c r="L684" s="12">
        <v>12241</v>
      </c>
      <c r="M684" s="11">
        <f>L684*4+AI684-AJ684</f>
        <v>48964</v>
      </c>
      <c r="N684" s="13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  <c r="AA684" s="12"/>
      <c r="AB684" s="12"/>
      <c r="AC684" s="12"/>
      <c r="AD684" s="12"/>
      <c r="AE684" s="12"/>
      <c r="AF684" s="13">
        <f>H684+I684+J684+K684+M684-N684</f>
        <v>51514</v>
      </c>
      <c r="AG684" s="13">
        <f>SUM(O684:AE684)</f>
        <v>0</v>
      </c>
      <c r="AH684" s="13">
        <f>AF684-AG684</f>
        <v>51514</v>
      </c>
      <c r="AI684" s="12"/>
      <c r="AJ684" s="12"/>
      <c r="AK684" s="12"/>
    </row>
    <row r="685" spans="1:37">
      <c r="A685" s="10">
        <v>26</v>
      </c>
      <c r="B685" s="16">
        <v>2084</v>
      </c>
      <c r="C685" s="16" t="s">
        <v>715</v>
      </c>
      <c r="D685" s="16" t="s">
        <v>23</v>
      </c>
      <c r="E685" s="16"/>
      <c r="F685" s="11" t="s">
        <v>663</v>
      </c>
      <c r="G685" s="12" t="s">
        <v>62</v>
      </c>
      <c r="H685" s="9"/>
      <c r="I685" s="12"/>
      <c r="J685" s="12">
        <v>150</v>
      </c>
      <c r="K685" s="12">
        <v>2400</v>
      </c>
      <c r="L685" s="12">
        <v>12241</v>
      </c>
      <c r="M685" s="11">
        <f>L685*4+AI685-AJ685</f>
        <v>48964</v>
      </c>
      <c r="N685" s="13"/>
      <c r="O685" s="9"/>
      <c r="P685" s="12"/>
      <c r="Q685" s="12"/>
      <c r="R685" s="12"/>
      <c r="S685" s="12"/>
      <c r="T685" s="12">
        <v>12991</v>
      </c>
      <c r="U685" s="12"/>
      <c r="V685" s="12"/>
      <c r="W685" s="12"/>
      <c r="X685" s="12"/>
      <c r="Y685" s="12"/>
      <c r="Z685" s="12"/>
      <c r="AA685" s="12"/>
      <c r="AB685" s="12"/>
      <c r="AC685" s="12"/>
      <c r="AD685" s="12"/>
      <c r="AE685" s="12"/>
      <c r="AF685" s="13">
        <f>H685+I685+J685+K685+M685-N685</f>
        <v>51514</v>
      </c>
      <c r="AG685" s="13">
        <f>SUM(O685:AE685)</f>
        <v>12991</v>
      </c>
      <c r="AH685" s="13">
        <f>AF685-AG685</f>
        <v>38523</v>
      </c>
      <c r="AI685" s="12"/>
      <c r="AJ685" s="12"/>
      <c r="AK685" s="12"/>
    </row>
    <row r="686" spans="1:37">
      <c r="A686" s="10">
        <v>27</v>
      </c>
      <c r="B686" s="11">
        <v>1614</v>
      </c>
      <c r="C686" s="10" t="s">
        <v>716</v>
      </c>
      <c r="D686" s="11" t="s">
        <v>23</v>
      </c>
      <c r="E686" s="11"/>
      <c r="F686" s="11" t="s">
        <v>663</v>
      </c>
      <c r="G686" s="11" t="s">
        <v>62</v>
      </c>
      <c r="H686" s="9"/>
      <c r="I686" s="12"/>
      <c r="J686" s="12">
        <v>150</v>
      </c>
      <c r="K686" s="12">
        <v>2400</v>
      </c>
      <c r="L686" s="12">
        <v>12241</v>
      </c>
      <c r="M686" s="11">
        <f>L686*4+AI686-AJ686</f>
        <v>48964</v>
      </c>
      <c r="N686" s="13"/>
      <c r="O686" s="12"/>
      <c r="P686" s="12"/>
      <c r="Q686" s="12"/>
      <c r="R686" s="12"/>
      <c r="S686" s="12"/>
      <c r="T686" s="12">
        <v>12991</v>
      </c>
      <c r="U686" s="12"/>
      <c r="V686" s="12">
        <v>12841</v>
      </c>
      <c r="W686" s="12"/>
      <c r="X686" s="12"/>
      <c r="Y686" s="12"/>
      <c r="Z686" s="12"/>
      <c r="AA686" s="12"/>
      <c r="AB686" s="12"/>
      <c r="AC686" s="12"/>
      <c r="AD686" s="12"/>
      <c r="AE686" s="12"/>
      <c r="AF686" s="13">
        <f>H686+I686+J686+K686+M686-N686</f>
        <v>51514</v>
      </c>
      <c r="AG686" s="13">
        <f>SUM(O686:AE686)</f>
        <v>25832</v>
      </c>
      <c r="AH686" s="13">
        <f>AF686-AG686</f>
        <v>25682</v>
      </c>
      <c r="AI686" s="12"/>
      <c r="AJ686" s="12"/>
      <c r="AK686" s="12"/>
    </row>
    <row r="687" spans="1:37">
      <c r="A687" s="10">
        <v>1</v>
      </c>
      <c r="B687" s="11">
        <v>1656</v>
      </c>
      <c r="C687" s="10" t="s">
        <v>717</v>
      </c>
      <c r="D687" s="11" t="s">
        <v>28</v>
      </c>
      <c r="E687" s="11"/>
      <c r="F687" s="10" t="s">
        <v>718</v>
      </c>
      <c r="G687" s="11" t="s">
        <v>26</v>
      </c>
      <c r="H687" s="9"/>
      <c r="I687" s="12"/>
      <c r="J687" s="12">
        <v>150</v>
      </c>
      <c r="K687" s="12">
        <v>2400</v>
      </c>
      <c r="L687" s="12">
        <v>12241</v>
      </c>
      <c r="M687" s="11">
        <f>L687*4+AI687-AJ687</f>
        <v>48964</v>
      </c>
      <c r="N687" s="13"/>
      <c r="O687" s="12"/>
      <c r="P687" s="12"/>
      <c r="Q687" s="12"/>
      <c r="R687" s="12"/>
      <c r="S687" s="12"/>
      <c r="T687" s="12"/>
      <c r="U687" s="12">
        <v>12991</v>
      </c>
      <c r="V687" s="12"/>
      <c r="W687" s="12"/>
      <c r="X687" s="12"/>
      <c r="Y687" s="12"/>
      <c r="Z687" s="12"/>
      <c r="AA687" s="12"/>
      <c r="AB687" s="12"/>
      <c r="AC687" s="12"/>
      <c r="AD687" s="12"/>
      <c r="AE687" s="12"/>
      <c r="AF687" s="13">
        <f>H687+I687+J687+K687+M687-N687</f>
        <v>51514</v>
      </c>
      <c r="AG687" s="13">
        <f>SUM(O687:AE687)</f>
        <v>12991</v>
      </c>
      <c r="AH687" s="13">
        <f>AF687-AG687</f>
        <v>38523</v>
      </c>
      <c r="AI687" s="12"/>
      <c r="AJ687" s="12"/>
      <c r="AK687" s="12"/>
    </row>
    <row r="688" spans="1:37">
      <c r="A688" s="10">
        <v>2</v>
      </c>
      <c r="B688" s="11">
        <v>1256</v>
      </c>
      <c r="C688" s="10" t="s">
        <v>719</v>
      </c>
      <c r="D688" s="11" t="s">
        <v>23</v>
      </c>
      <c r="E688" s="11"/>
      <c r="F688" s="10" t="s">
        <v>718</v>
      </c>
      <c r="G688" s="11" t="s">
        <v>26</v>
      </c>
      <c r="H688" s="9"/>
      <c r="I688" s="12"/>
      <c r="J688" s="12">
        <v>150</v>
      </c>
      <c r="K688" s="12">
        <v>2400</v>
      </c>
      <c r="L688" s="12">
        <v>12241</v>
      </c>
      <c r="M688" s="11">
        <f>L688*4+AI688-AJ688</f>
        <v>48964</v>
      </c>
      <c r="N688" s="13"/>
      <c r="O688" s="12"/>
      <c r="P688" s="12"/>
      <c r="Q688" s="12"/>
      <c r="R688" s="12"/>
      <c r="S688" s="12"/>
      <c r="T688" s="12">
        <v>12991</v>
      </c>
      <c r="U688" s="12"/>
      <c r="V688" s="12"/>
      <c r="W688" s="12"/>
      <c r="X688" s="12"/>
      <c r="Y688" s="12"/>
      <c r="Z688" s="12"/>
      <c r="AA688" s="12"/>
      <c r="AB688" s="12"/>
      <c r="AC688" s="12"/>
      <c r="AD688" s="12"/>
      <c r="AE688" s="12"/>
      <c r="AF688" s="13">
        <f>H688+I688+J688+K688+M688-N688</f>
        <v>51514</v>
      </c>
      <c r="AG688" s="13">
        <f>SUM(O688:AE688)</f>
        <v>12991</v>
      </c>
      <c r="AH688" s="13">
        <f>AF688-AG688</f>
        <v>38523</v>
      </c>
      <c r="AI688" s="12"/>
      <c r="AJ688" s="12"/>
      <c r="AK688" s="12"/>
    </row>
    <row r="689" spans="1:37">
      <c r="A689" s="10">
        <v>3</v>
      </c>
      <c r="B689" s="11">
        <v>986</v>
      </c>
      <c r="C689" s="10" t="s">
        <v>720</v>
      </c>
      <c r="D689" s="11" t="s">
        <v>23</v>
      </c>
      <c r="E689" s="11"/>
      <c r="F689" s="10" t="s">
        <v>718</v>
      </c>
      <c r="G689" s="11" t="s">
        <v>26</v>
      </c>
      <c r="H689" s="9"/>
      <c r="I689" s="12"/>
      <c r="J689" s="12">
        <v>150</v>
      </c>
      <c r="K689" s="12">
        <v>2400</v>
      </c>
      <c r="L689" s="12">
        <v>12241</v>
      </c>
      <c r="M689" s="11">
        <f>L689*4+AI689-AJ689</f>
        <v>48964</v>
      </c>
      <c r="N689" s="13"/>
      <c r="O689" s="12"/>
      <c r="P689" s="12"/>
      <c r="Q689" s="12"/>
      <c r="R689" s="12"/>
      <c r="S689" s="12"/>
      <c r="T689" s="12"/>
      <c r="U689" s="12">
        <v>12991</v>
      </c>
      <c r="V689" s="12"/>
      <c r="W689" s="12"/>
      <c r="X689" s="12"/>
      <c r="Y689" s="12"/>
      <c r="Z689" s="12"/>
      <c r="AA689" s="12"/>
      <c r="AB689" s="12"/>
      <c r="AC689" s="12"/>
      <c r="AD689" s="12"/>
      <c r="AE689" s="12"/>
      <c r="AF689" s="13">
        <f>H689+I689+J689+K689+M689-N689</f>
        <v>51514</v>
      </c>
      <c r="AG689" s="13">
        <f>SUM(O689:AE689)</f>
        <v>12991</v>
      </c>
      <c r="AH689" s="13">
        <f>AF689-AG689</f>
        <v>38523</v>
      </c>
      <c r="AI689" s="12"/>
      <c r="AJ689" s="12"/>
      <c r="AK689" s="12">
        <v>300</v>
      </c>
    </row>
    <row r="690" spans="1:37">
      <c r="A690" s="10">
        <v>4</v>
      </c>
      <c r="B690" s="11">
        <v>1524</v>
      </c>
      <c r="C690" s="10" t="s">
        <v>721</v>
      </c>
      <c r="D690" s="11" t="s">
        <v>28</v>
      </c>
      <c r="E690" s="11"/>
      <c r="F690" s="10" t="s">
        <v>718</v>
      </c>
      <c r="G690" s="11" t="s">
        <v>26</v>
      </c>
      <c r="H690" s="9"/>
      <c r="I690" s="12"/>
      <c r="J690" s="12">
        <v>150</v>
      </c>
      <c r="K690" s="12">
        <v>2400</v>
      </c>
      <c r="L690" s="12">
        <v>12241</v>
      </c>
      <c r="M690" s="11">
        <f>L690*4+AI690-AJ690</f>
        <v>48964</v>
      </c>
      <c r="N690" s="13"/>
      <c r="O690" s="12"/>
      <c r="P690" s="12"/>
      <c r="Q690" s="12"/>
      <c r="R690" s="12"/>
      <c r="S690" s="12"/>
      <c r="T690" s="12">
        <v>12991</v>
      </c>
      <c r="U690" s="12"/>
      <c r="V690" s="12">
        <v>12841</v>
      </c>
      <c r="W690" s="12"/>
      <c r="X690" s="12"/>
      <c r="Y690" s="12"/>
      <c r="Z690" s="12"/>
      <c r="AA690" s="12"/>
      <c r="AB690" s="12"/>
      <c r="AC690" s="12"/>
      <c r="AD690" s="12"/>
      <c r="AE690" s="12"/>
      <c r="AF690" s="13">
        <f>H690+I690+J690+K690+M690-N690</f>
        <v>51514</v>
      </c>
      <c r="AG690" s="13">
        <f>SUM(O690:AE690)</f>
        <v>25832</v>
      </c>
      <c r="AH690" s="13">
        <f>AF690-AG690</f>
        <v>25682</v>
      </c>
      <c r="AI690" s="12"/>
      <c r="AJ690" s="12"/>
      <c r="AK690" s="12"/>
    </row>
    <row r="691" spans="1:37">
      <c r="A691" s="10">
        <v>5</v>
      </c>
      <c r="B691" s="22">
        <v>2220</v>
      </c>
      <c r="C691" s="21" t="s">
        <v>722</v>
      </c>
      <c r="D691" s="22" t="s">
        <v>28</v>
      </c>
      <c r="E691" s="22" t="s">
        <v>24</v>
      </c>
      <c r="F691" s="21" t="s">
        <v>718</v>
      </c>
      <c r="G691" s="22" t="s">
        <v>26</v>
      </c>
      <c r="H691" s="9">
        <v>5000</v>
      </c>
      <c r="I691" s="12">
        <v>1200</v>
      </c>
      <c r="J691" s="12">
        <v>150</v>
      </c>
      <c r="K691" s="12">
        <v>2400</v>
      </c>
      <c r="L691" s="12">
        <v>12241</v>
      </c>
      <c r="M691" s="11">
        <f>L691*4+AI691-AJ691</f>
        <v>48964</v>
      </c>
      <c r="N691" s="13"/>
      <c r="O691" s="12">
        <v>5000</v>
      </c>
      <c r="P691" s="12">
        <v>1200</v>
      </c>
      <c r="Q691" s="12"/>
      <c r="R691" s="11">
        <f>12241+150+600</f>
        <v>12991</v>
      </c>
      <c r="S691" s="12"/>
      <c r="T691" s="12"/>
      <c r="U691" s="12"/>
      <c r="V691" s="12"/>
      <c r="W691" s="12"/>
      <c r="X691" s="12"/>
      <c r="Y691" s="12"/>
      <c r="Z691" s="12"/>
      <c r="AA691" s="12"/>
      <c r="AB691" s="12"/>
      <c r="AC691" s="12"/>
      <c r="AD691" s="12"/>
      <c r="AE691" s="12"/>
      <c r="AF691" s="13">
        <f>H691+I691+J691+K691+M691-N691</f>
        <v>57714</v>
      </c>
      <c r="AG691" s="13">
        <f>SUM(O691:AE691)</f>
        <v>19191</v>
      </c>
      <c r="AH691" s="13">
        <f>AF691-AG691</f>
        <v>38523</v>
      </c>
      <c r="AI691" s="12"/>
      <c r="AJ691" s="12"/>
      <c r="AK691" s="12"/>
    </row>
    <row r="692" spans="1:37">
      <c r="A692" s="10">
        <v>6</v>
      </c>
      <c r="B692" s="11">
        <v>956</v>
      </c>
      <c r="C692" s="10" t="s">
        <v>723</v>
      </c>
      <c r="D692" s="11" t="s">
        <v>28</v>
      </c>
      <c r="E692" s="11"/>
      <c r="F692" s="10" t="s">
        <v>718</v>
      </c>
      <c r="G692" s="11" t="s">
        <v>26</v>
      </c>
      <c r="H692" s="9"/>
      <c r="I692" s="12"/>
      <c r="J692" s="12">
        <v>150</v>
      </c>
      <c r="K692" s="12">
        <v>2400</v>
      </c>
      <c r="L692" s="12">
        <v>12241</v>
      </c>
      <c r="M692" s="11">
        <f>L692*4+AI692-AJ692</f>
        <v>48964</v>
      </c>
      <c r="N692" s="13"/>
      <c r="O692" s="12"/>
      <c r="P692" s="12"/>
      <c r="Q692" s="12"/>
      <c r="R692" s="12"/>
      <c r="S692" s="12"/>
      <c r="T692" s="12"/>
      <c r="U692" s="12">
        <v>12991</v>
      </c>
      <c r="V692" s="12"/>
      <c r="W692" s="12"/>
      <c r="X692" s="12"/>
      <c r="Y692" s="12"/>
      <c r="Z692" s="12"/>
      <c r="AA692" s="12"/>
      <c r="AB692" s="12"/>
      <c r="AC692" s="12"/>
      <c r="AD692" s="12"/>
      <c r="AE692" s="12"/>
      <c r="AF692" s="13">
        <f>H692+I692+J692+K692+M692-N692</f>
        <v>51514</v>
      </c>
      <c r="AG692" s="13">
        <f>SUM(O692:AE692)</f>
        <v>12991</v>
      </c>
      <c r="AH692" s="13">
        <f>AF692-AG692</f>
        <v>38523</v>
      </c>
      <c r="AI692" s="12"/>
      <c r="AJ692" s="12"/>
      <c r="AK692" s="12"/>
    </row>
    <row r="693" spans="1:37">
      <c r="A693" s="10">
        <v>7</v>
      </c>
      <c r="B693" s="11">
        <v>925</v>
      </c>
      <c r="C693" s="10" t="s">
        <v>396</v>
      </c>
      <c r="D693" s="11" t="s">
        <v>28</v>
      </c>
      <c r="E693" s="11"/>
      <c r="F693" s="10" t="s">
        <v>718</v>
      </c>
      <c r="G693" s="11" t="s">
        <v>26</v>
      </c>
      <c r="H693" s="9"/>
      <c r="I693" s="12"/>
      <c r="J693" s="12">
        <v>150</v>
      </c>
      <c r="K693" s="12">
        <v>2400</v>
      </c>
      <c r="L693" s="12">
        <v>12241</v>
      </c>
      <c r="M693" s="11">
        <f>L693*4+AI693-AJ693</f>
        <v>48964</v>
      </c>
      <c r="N693" s="13">
        <v>2448</v>
      </c>
      <c r="O693" s="12"/>
      <c r="P693" s="12"/>
      <c r="Q693" s="12"/>
      <c r="R693" s="12"/>
      <c r="S693" s="12">
        <v>49066</v>
      </c>
      <c r="T693" s="12"/>
      <c r="U693" s="12"/>
      <c r="V693" s="12"/>
      <c r="W693" s="12"/>
      <c r="X693" s="12"/>
      <c r="Y693" s="12"/>
      <c r="Z693" s="12"/>
      <c r="AA693" s="12"/>
      <c r="AB693" s="12"/>
      <c r="AC693" s="12"/>
      <c r="AD693" s="12"/>
      <c r="AE693" s="12"/>
      <c r="AF693" s="13">
        <f>H693+I693+J693+K693+M693-N693</f>
        <v>49066</v>
      </c>
      <c r="AG693" s="13">
        <f>SUM(O693:AE693)</f>
        <v>49066</v>
      </c>
      <c r="AH693" s="13">
        <f>AF693-AG693</f>
        <v>0</v>
      </c>
      <c r="AI693" s="12"/>
      <c r="AJ693" s="12"/>
      <c r="AK693" s="12"/>
    </row>
    <row r="694" spans="1:37">
      <c r="A694" s="10">
        <v>8</v>
      </c>
      <c r="B694" s="11">
        <v>857</v>
      </c>
      <c r="C694" s="10" t="s">
        <v>724</v>
      </c>
      <c r="D694" s="11" t="s">
        <v>23</v>
      </c>
      <c r="E694" s="11"/>
      <c r="F694" s="10" t="s">
        <v>718</v>
      </c>
      <c r="G694" s="11" t="s">
        <v>26</v>
      </c>
      <c r="H694" s="9"/>
      <c r="I694" s="12"/>
      <c r="J694" s="12">
        <v>150</v>
      </c>
      <c r="K694" s="12">
        <v>2400</v>
      </c>
      <c r="L694" s="12">
        <v>12241</v>
      </c>
      <c r="M694" s="11">
        <f>L694*4+AI694-AJ694</f>
        <v>48964</v>
      </c>
      <c r="N694" s="13"/>
      <c r="O694" s="12"/>
      <c r="P694" s="12"/>
      <c r="Q694" s="12"/>
      <c r="R694" s="12"/>
      <c r="S694" s="12"/>
      <c r="T694" s="12"/>
      <c r="U694" s="12"/>
      <c r="V694" s="12">
        <v>12991</v>
      </c>
      <c r="W694" s="12"/>
      <c r="X694" s="12"/>
      <c r="Y694" s="12"/>
      <c r="Z694" s="12"/>
      <c r="AA694" s="12"/>
      <c r="AB694" s="12"/>
      <c r="AC694" s="12"/>
      <c r="AD694" s="12"/>
      <c r="AE694" s="12"/>
      <c r="AF694" s="13">
        <f>H694+I694+J694+K694+M694-N694</f>
        <v>51514</v>
      </c>
      <c r="AG694" s="13">
        <f>SUM(O694:AE694)</f>
        <v>12991</v>
      </c>
      <c r="AH694" s="13">
        <f>AF694-AG694</f>
        <v>38523</v>
      </c>
      <c r="AI694" s="12"/>
      <c r="AJ694" s="12"/>
      <c r="AK694" s="12"/>
    </row>
    <row r="695" spans="1:37">
      <c r="A695" s="10">
        <v>9</v>
      </c>
      <c r="B695" s="11">
        <v>1808</v>
      </c>
      <c r="C695" s="10" t="s">
        <v>725</v>
      </c>
      <c r="D695" s="11" t="s">
        <v>28</v>
      </c>
      <c r="E695" s="11"/>
      <c r="F695" s="10" t="s">
        <v>718</v>
      </c>
      <c r="G695" s="11" t="s">
        <v>26</v>
      </c>
      <c r="H695" s="9"/>
      <c r="I695" s="12"/>
      <c r="J695" s="12">
        <v>150</v>
      </c>
      <c r="K695" s="12">
        <v>2400</v>
      </c>
      <c r="L695" s="12">
        <v>12241</v>
      </c>
      <c r="M695" s="11">
        <f>L695*4+AI695-AJ695</f>
        <v>48964</v>
      </c>
      <c r="N695" s="13"/>
      <c r="O695" s="12"/>
      <c r="P695" s="12"/>
      <c r="Q695" s="12"/>
      <c r="R695" s="12"/>
      <c r="S695" s="12">
        <v>12991</v>
      </c>
      <c r="T695" s="12"/>
      <c r="U695" s="12"/>
      <c r="V695" s="12">
        <v>12841</v>
      </c>
      <c r="W695" s="12"/>
      <c r="X695" s="12"/>
      <c r="Y695" s="12"/>
      <c r="Z695" s="12"/>
      <c r="AA695" s="12"/>
      <c r="AB695" s="12"/>
      <c r="AC695" s="12"/>
      <c r="AD695" s="12"/>
      <c r="AE695" s="12"/>
      <c r="AF695" s="13">
        <f>H695+I695+J695+K695+M695-N695</f>
        <v>51514</v>
      </c>
      <c r="AG695" s="13">
        <f>SUM(O695:AE695)</f>
        <v>25832</v>
      </c>
      <c r="AH695" s="13">
        <f>AF695-AG695</f>
        <v>25682</v>
      </c>
      <c r="AI695" s="12"/>
      <c r="AJ695" s="12"/>
      <c r="AK695" s="12"/>
    </row>
    <row r="696" spans="1:37">
      <c r="A696" s="10">
        <v>10</v>
      </c>
      <c r="B696" s="11">
        <v>1164</v>
      </c>
      <c r="C696" s="10" t="s">
        <v>726</v>
      </c>
      <c r="D696" s="11" t="s">
        <v>23</v>
      </c>
      <c r="E696" s="11"/>
      <c r="F696" s="10" t="s">
        <v>718</v>
      </c>
      <c r="G696" s="11" t="s">
        <v>26</v>
      </c>
      <c r="H696" s="9"/>
      <c r="I696" s="12"/>
      <c r="J696" s="12">
        <v>150</v>
      </c>
      <c r="K696" s="12">
        <v>2400</v>
      </c>
      <c r="L696" s="12">
        <v>12241</v>
      </c>
      <c r="M696" s="11">
        <f>L696*4+AI696-AJ696</f>
        <v>50058</v>
      </c>
      <c r="N696" s="13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  <c r="AA696" s="12"/>
      <c r="AB696" s="12"/>
      <c r="AC696" s="12"/>
      <c r="AD696" s="12"/>
      <c r="AE696" s="12"/>
      <c r="AF696" s="13">
        <f>H696+I696+J696+K696+M696-N696</f>
        <v>52608</v>
      </c>
      <c r="AG696" s="13">
        <f>SUM(O696:AE696)</f>
        <v>0</v>
      </c>
      <c r="AH696" s="13">
        <f>AF696-AG696</f>
        <v>52608</v>
      </c>
      <c r="AI696" s="12">
        <v>1094</v>
      </c>
      <c r="AJ696" s="12"/>
      <c r="AK696" s="12"/>
    </row>
    <row r="697" spans="1:37">
      <c r="A697" s="10">
        <v>11</v>
      </c>
      <c r="B697" s="11">
        <v>922</v>
      </c>
      <c r="C697" s="10" t="s">
        <v>727</v>
      </c>
      <c r="D697" s="11" t="s">
        <v>23</v>
      </c>
      <c r="E697" s="11"/>
      <c r="F697" s="10" t="s">
        <v>718</v>
      </c>
      <c r="G697" s="11" t="s">
        <v>26</v>
      </c>
      <c r="H697" s="9"/>
      <c r="I697" s="12"/>
      <c r="J697" s="12">
        <v>150</v>
      </c>
      <c r="K697" s="12">
        <v>2400</v>
      </c>
      <c r="L697" s="12">
        <v>12241</v>
      </c>
      <c r="M697" s="11">
        <f>L697*4+AI697-AJ697</f>
        <v>48964</v>
      </c>
      <c r="N697" s="13"/>
      <c r="O697" s="12"/>
      <c r="P697" s="12"/>
      <c r="Q697" s="12"/>
      <c r="R697" s="12"/>
      <c r="S697" s="12"/>
      <c r="T697" s="12"/>
      <c r="U697" s="12">
        <v>12991</v>
      </c>
      <c r="V697" s="12"/>
      <c r="W697" s="12"/>
      <c r="X697" s="12"/>
      <c r="Y697" s="12"/>
      <c r="Z697" s="12"/>
      <c r="AA697" s="12"/>
      <c r="AB697" s="12"/>
      <c r="AC697" s="12"/>
      <c r="AD697" s="12"/>
      <c r="AE697" s="12"/>
      <c r="AF697" s="13">
        <f>H697+I697+J697+K697+M697-N697</f>
        <v>51514</v>
      </c>
      <c r="AG697" s="13">
        <f>SUM(O697:AE697)</f>
        <v>12991</v>
      </c>
      <c r="AH697" s="13">
        <f>AF697-AG697</f>
        <v>38523</v>
      </c>
      <c r="AI697" s="12"/>
      <c r="AJ697" s="12"/>
      <c r="AK697" s="12"/>
    </row>
    <row r="698" spans="1:37">
      <c r="A698" s="10">
        <v>12</v>
      </c>
      <c r="B698" s="11">
        <v>902</v>
      </c>
      <c r="C698" s="10" t="s">
        <v>728</v>
      </c>
      <c r="D698" s="11" t="s">
        <v>28</v>
      </c>
      <c r="E698" s="11"/>
      <c r="F698" s="10" t="s">
        <v>718</v>
      </c>
      <c r="G698" s="11" t="s">
        <v>26</v>
      </c>
      <c r="H698" s="9"/>
      <c r="I698" s="12"/>
      <c r="J698" s="12">
        <v>150</v>
      </c>
      <c r="K698" s="12">
        <v>2400</v>
      </c>
      <c r="L698" s="12">
        <v>12241</v>
      </c>
      <c r="M698" s="11">
        <f>L698*4+AI698-AJ698</f>
        <v>48964</v>
      </c>
      <c r="N698" s="13"/>
      <c r="O698" s="12"/>
      <c r="P698" s="12"/>
      <c r="Q698" s="12"/>
      <c r="R698" s="12"/>
      <c r="S698" s="12">
        <v>12991</v>
      </c>
      <c r="T698" s="12"/>
      <c r="U698" s="12"/>
      <c r="V698" s="12"/>
      <c r="W698" s="12"/>
      <c r="X698" s="12"/>
      <c r="Y698" s="12"/>
      <c r="Z698" s="12"/>
      <c r="AA698" s="12"/>
      <c r="AB698" s="12"/>
      <c r="AC698" s="12"/>
      <c r="AD698" s="12"/>
      <c r="AE698" s="12"/>
      <c r="AF698" s="13">
        <f>H698+I698+J698+K698+M698-N698</f>
        <v>51514</v>
      </c>
      <c r="AG698" s="13">
        <f>SUM(O698:AE698)</f>
        <v>12991</v>
      </c>
      <c r="AH698" s="13">
        <f>AF698-AG698</f>
        <v>38523</v>
      </c>
      <c r="AI698" s="12"/>
      <c r="AJ698" s="12"/>
      <c r="AK698" s="12"/>
    </row>
    <row r="699" spans="1:37">
      <c r="A699" s="10">
        <v>13</v>
      </c>
      <c r="B699" s="11">
        <v>1551</v>
      </c>
      <c r="C699" s="10" t="s">
        <v>729</v>
      </c>
      <c r="D699" s="11" t="s">
        <v>28</v>
      </c>
      <c r="E699" s="11"/>
      <c r="F699" s="10" t="s">
        <v>718</v>
      </c>
      <c r="G699" s="11" t="s">
        <v>26</v>
      </c>
      <c r="H699" s="9"/>
      <c r="I699" s="12"/>
      <c r="J699" s="12">
        <v>150</v>
      </c>
      <c r="K699" s="12">
        <v>2400</v>
      </c>
      <c r="L699" s="12">
        <v>12241</v>
      </c>
      <c r="M699" s="11">
        <f>L699*4+AI699-AJ699</f>
        <v>48964</v>
      </c>
      <c r="N699" s="13"/>
      <c r="O699" s="12"/>
      <c r="P699" s="12"/>
      <c r="Q699" s="12"/>
      <c r="R699" s="12"/>
      <c r="S699" s="12">
        <v>12991</v>
      </c>
      <c r="T699" s="12"/>
      <c r="U699" s="12"/>
      <c r="V699" s="12">
        <v>12841</v>
      </c>
      <c r="W699" s="12"/>
      <c r="X699" s="12"/>
      <c r="Y699" s="12"/>
      <c r="Z699" s="12"/>
      <c r="AA699" s="12"/>
      <c r="AB699" s="12"/>
      <c r="AC699" s="12"/>
      <c r="AD699" s="12"/>
      <c r="AE699" s="12"/>
      <c r="AF699" s="13">
        <f>H699+I699+J699+K699+M699-N699</f>
        <v>51514</v>
      </c>
      <c r="AG699" s="13">
        <f>SUM(O699:AE699)</f>
        <v>25832</v>
      </c>
      <c r="AH699" s="13">
        <f>AF699-AG699</f>
        <v>25682</v>
      </c>
      <c r="AI699" s="12"/>
      <c r="AJ699" s="12"/>
      <c r="AK699" s="12"/>
    </row>
    <row r="700" spans="1:37">
      <c r="A700" s="10">
        <v>14</v>
      </c>
      <c r="B700" s="22">
        <v>2219</v>
      </c>
      <c r="C700" s="21" t="s">
        <v>730</v>
      </c>
      <c r="D700" s="22" t="s">
        <v>28</v>
      </c>
      <c r="E700" s="22" t="s">
        <v>24</v>
      </c>
      <c r="F700" s="21" t="s">
        <v>718</v>
      </c>
      <c r="G700" s="22" t="s">
        <v>26</v>
      </c>
      <c r="H700" s="9">
        <v>5000</v>
      </c>
      <c r="I700" s="12">
        <v>1200</v>
      </c>
      <c r="J700" s="12">
        <v>150</v>
      </c>
      <c r="K700" s="12">
        <v>2400</v>
      </c>
      <c r="L700" s="12">
        <v>12241</v>
      </c>
      <c r="M700" s="11">
        <f>L700*4+AI700-AJ700</f>
        <v>48964</v>
      </c>
      <c r="N700" s="13"/>
      <c r="O700" s="12">
        <v>5000</v>
      </c>
      <c r="P700" s="12">
        <v>1200</v>
      </c>
      <c r="Q700" s="12"/>
      <c r="R700" s="11">
        <f>12241+150+600</f>
        <v>12991</v>
      </c>
      <c r="S700" s="12"/>
      <c r="T700" s="12"/>
      <c r="U700" s="12"/>
      <c r="V700" s="12">
        <v>12841</v>
      </c>
      <c r="W700" s="12"/>
      <c r="X700" s="12"/>
      <c r="Y700" s="12"/>
      <c r="Z700" s="12"/>
      <c r="AA700" s="12"/>
      <c r="AB700" s="12"/>
      <c r="AC700" s="12"/>
      <c r="AD700" s="12"/>
      <c r="AE700" s="12"/>
      <c r="AF700" s="13">
        <f>H700+I700+J700+K700+M700-N700</f>
        <v>57714</v>
      </c>
      <c r="AG700" s="13">
        <f>SUM(O700:AE700)</f>
        <v>32032</v>
      </c>
      <c r="AH700" s="13">
        <f>AF700-AG700</f>
        <v>25682</v>
      </c>
      <c r="AI700" s="12"/>
      <c r="AJ700" s="12"/>
      <c r="AK700" s="12"/>
    </row>
    <row r="701" spans="1:37">
      <c r="A701" s="10">
        <v>15</v>
      </c>
      <c r="B701" s="11">
        <v>1603</v>
      </c>
      <c r="C701" s="10" t="s">
        <v>731</v>
      </c>
      <c r="D701" s="11" t="s">
        <v>28</v>
      </c>
      <c r="E701" s="11"/>
      <c r="F701" s="10" t="s">
        <v>718</v>
      </c>
      <c r="G701" s="11" t="s">
        <v>26</v>
      </c>
      <c r="H701" s="9"/>
      <c r="I701" s="12"/>
      <c r="J701" s="12">
        <v>150</v>
      </c>
      <c r="K701" s="12">
        <v>2400</v>
      </c>
      <c r="L701" s="12">
        <v>12241</v>
      </c>
      <c r="M701" s="11">
        <f>L701*4+AI701-AJ701</f>
        <v>48964</v>
      </c>
      <c r="N701" s="13"/>
      <c r="O701" s="12"/>
      <c r="P701" s="12"/>
      <c r="Q701" s="12"/>
      <c r="R701" s="12"/>
      <c r="S701" s="12"/>
      <c r="T701" s="12">
        <v>12991</v>
      </c>
      <c r="U701" s="12"/>
      <c r="V701" s="12"/>
      <c r="W701" s="12"/>
      <c r="X701" s="12"/>
      <c r="Y701" s="12"/>
      <c r="Z701" s="12"/>
      <c r="AA701" s="12"/>
      <c r="AB701" s="12"/>
      <c r="AC701" s="12"/>
      <c r="AD701" s="12"/>
      <c r="AE701" s="12"/>
      <c r="AF701" s="13">
        <f>H701+I701+J701+K701+M701-N701</f>
        <v>51514</v>
      </c>
      <c r="AG701" s="13">
        <f>SUM(O701:AE701)</f>
        <v>12991</v>
      </c>
      <c r="AH701" s="13">
        <f>AF701-AG701</f>
        <v>38523</v>
      </c>
      <c r="AI701" s="12"/>
      <c r="AJ701" s="12"/>
      <c r="AK701" s="12"/>
    </row>
    <row r="702" spans="1:37">
      <c r="A702" s="10">
        <v>16</v>
      </c>
      <c r="B702" s="11">
        <v>1576</v>
      </c>
      <c r="C702" s="10" t="s">
        <v>732</v>
      </c>
      <c r="D702" s="11" t="s">
        <v>23</v>
      </c>
      <c r="E702" s="11"/>
      <c r="F702" s="10" t="s">
        <v>718</v>
      </c>
      <c r="G702" s="11" t="s">
        <v>26</v>
      </c>
      <c r="H702" s="9"/>
      <c r="I702" s="12"/>
      <c r="J702" s="12">
        <v>150</v>
      </c>
      <c r="K702" s="12">
        <v>2400</v>
      </c>
      <c r="L702" s="12">
        <v>12241</v>
      </c>
      <c r="M702" s="11">
        <f>L702*4+AI702-AJ702</f>
        <v>48964</v>
      </c>
      <c r="N702" s="13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  <c r="AA702" s="12"/>
      <c r="AB702" s="12"/>
      <c r="AC702" s="12"/>
      <c r="AD702" s="12"/>
      <c r="AE702" s="12"/>
      <c r="AF702" s="13">
        <f>H702+I702+J702+K702+M702-N702</f>
        <v>51514</v>
      </c>
      <c r="AG702" s="13">
        <f>SUM(O702:AE702)</f>
        <v>0</v>
      </c>
      <c r="AH702" s="13">
        <f>AF702-AG702</f>
        <v>51514</v>
      </c>
      <c r="AI702" s="12"/>
      <c r="AJ702" s="12"/>
      <c r="AK702" s="12"/>
    </row>
    <row r="703" spans="1:37">
      <c r="A703" s="10">
        <v>17</v>
      </c>
      <c r="B703" s="11">
        <v>914</v>
      </c>
      <c r="C703" s="10" t="s">
        <v>733</v>
      </c>
      <c r="D703" s="11" t="s">
        <v>23</v>
      </c>
      <c r="E703" s="11"/>
      <c r="F703" s="10" t="s">
        <v>718</v>
      </c>
      <c r="G703" s="11" t="s">
        <v>26</v>
      </c>
      <c r="H703" s="9"/>
      <c r="I703" s="12"/>
      <c r="J703" s="12">
        <v>150</v>
      </c>
      <c r="K703" s="12">
        <v>2400</v>
      </c>
      <c r="L703" s="12">
        <v>12241</v>
      </c>
      <c r="M703" s="11">
        <f>L703*4+AI703-AJ703</f>
        <v>48964</v>
      </c>
      <c r="N703" s="13"/>
      <c r="O703" s="12"/>
      <c r="P703" s="12"/>
      <c r="Q703" s="12"/>
      <c r="R703" s="12"/>
      <c r="S703" s="12"/>
      <c r="T703" s="12">
        <v>12991</v>
      </c>
      <c r="U703" s="12"/>
      <c r="V703" s="12"/>
      <c r="W703" s="12"/>
      <c r="X703" s="12"/>
      <c r="Y703" s="12"/>
      <c r="Z703" s="12"/>
      <c r="AA703" s="12"/>
      <c r="AB703" s="12"/>
      <c r="AC703" s="12"/>
      <c r="AD703" s="12"/>
      <c r="AE703" s="12"/>
      <c r="AF703" s="13">
        <f>H703+I703+J703+K703+M703-N703</f>
        <v>51514</v>
      </c>
      <c r="AG703" s="13">
        <f>SUM(O703:AE703)</f>
        <v>12991</v>
      </c>
      <c r="AH703" s="13">
        <f>AF703-AG703</f>
        <v>38523</v>
      </c>
      <c r="AI703" s="12"/>
      <c r="AJ703" s="12"/>
      <c r="AK703" s="12"/>
    </row>
    <row r="704" spans="1:37">
      <c r="A704" s="10">
        <v>18</v>
      </c>
      <c r="B704" s="11">
        <v>1239</v>
      </c>
      <c r="C704" s="10" t="s">
        <v>734</v>
      </c>
      <c r="D704" s="11" t="s">
        <v>28</v>
      </c>
      <c r="E704" s="11"/>
      <c r="F704" s="10" t="s">
        <v>718</v>
      </c>
      <c r="G704" s="11" t="s">
        <v>26</v>
      </c>
      <c r="H704" s="9"/>
      <c r="I704" s="12"/>
      <c r="J704" s="12">
        <v>150</v>
      </c>
      <c r="K704" s="12">
        <v>2400</v>
      </c>
      <c r="L704" s="12">
        <v>12241</v>
      </c>
      <c r="M704" s="11">
        <f>L704*4+AI704-AJ704</f>
        <v>48964</v>
      </c>
      <c r="N704" s="13"/>
      <c r="O704" s="12"/>
      <c r="P704" s="12"/>
      <c r="Q704" s="12"/>
      <c r="R704" s="12"/>
      <c r="S704" s="12">
        <v>12991</v>
      </c>
      <c r="T704" s="12"/>
      <c r="U704" s="12"/>
      <c r="V704" s="12">
        <v>12841</v>
      </c>
      <c r="W704" s="12"/>
      <c r="X704" s="12"/>
      <c r="Y704" s="12"/>
      <c r="Z704" s="12"/>
      <c r="AA704" s="12"/>
      <c r="AB704" s="12"/>
      <c r="AC704" s="12"/>
      <c r="AD704" s="12"/>
      <c r="AE704" s="12"/>
      <c r="AF704" s="13">
        <f>H704+I704+J704+K704+M704-N704</f>
        <v>51514</v>
      </c>
      <c r="AG704" s="13">
        <f>SUM(O704:AE704)</f>
        <v>25832</v>
      </c>
      <c r="AH704" s="13">
        <f>AF704-AG704</f>
        <v>25682</v>
      </c>
      <c r="AI704" s="12"/>
      <c r="AJ704" s="12"/>
      <c r="AK704" s="12"/>
    </row>
    <row r="705" spans="1:37">
      <c r="A705" s="10">
        <v>19</v>
      </c>
      <c r="B705" s="11">
        <v>835</v>
      </c>
      <c r="C705" s="10" t="s">
        <v>735</v>
      </c>
      <c r="D705" s="11" t="s">
        <v>28</v>
      </c>
      <c r="E705" s="11"/>
      <c r="F705" s="10" t="s">
        <v>718</v>
      </c>
      <c r="G705" s="11" t="s">
        <v>26</v>
      </c>
      <c r="H705" s="9"/>
      <c r="I705" s="12"/>
      <c r="J705" s="12">
        <v>150</v>
      </c>
      <c r="K705" s="12">
        <v>2400</v>
      </c>
      <c r="L705" s="12">
        <v>12241</v>
      </c>
      <c r="M705" s="11">
        <f>L705*4+AI705-AJ705</f>
        <v>48964</v>
      </c>
      <c r="N705" s="13"/>
      <c r="O705" s="12"/>
      <c r="P705" s="12"/>
      <c r="Q705" s="12"/>
      <c r="R705" s="12"/>
      <c r="S705" s="12"/>
      <c r="T705" s="12">
        <v>12991</v>
      </c>
      <c r="U705" s="12"/>
      <c r="V705" s="12"/>
      <c r="W705" s="12"/>
      <c r="X705" s="12"/>
      <c r="Y705" s="12"/>
      <c r="Z705" s="12"/>
      <c r="AA705" s="12"/>
      <c r="AB705" s="12"/>
      <c r="AC705" s="12"/>
      <c r="AD705" s="12"/>
      <c r="AE705" s="12"/>
      <c r="AF705" s="13">
        <f>H705+I705+J705+K705+M705-N705</f>
        <v>51514</v>
      </c>
      <c r="AG705" s="13">
        <f>SUM(O705:AE705)</f>
        <v>12991</v>
      </c>
      <c r="AH705" s="13">
        <f>AF705-AG705</f>
        <v>38523</v>
      </c>
      <c r="AI705" s="12"/>
      <c r="AJ705" s="12"/>
      <c r="AK705" s="12"/>
    </row>
    <row r="706" spans="1:37">
      <c r="A706" s="10">
        <v>20</v>
      </c>
      <c r="B706" s="11">
        <v>1621</v>
      </c>
      <c r="C706" s="10" t="s">
        <v>736</v>
      </c>
      <c r="D706" s="11" t="s">
        <v>23</v>
      </c>
      <c r="E706" s="11"/>
      <c r="F706" s="10" t="s">
        <v>718</v>
      </c>
      <c r="G706" s="11" t="s">
        <v>26</v>
      </c>
      <c r="H706" s="9"/>
      <c r="I706" s="12"/>
      <c r="J706" s="12">
        <v>150</v>
      </c>
      <c r="K706" s="12">
        <v>2400</v>
      </c>
      <c r="L706" s="12">
        <v>12241</v>
      </c>
      <c r="M706" s="11">
        <f>L706*4+AI706-AJ706</f>
        <v>48964</v>
      </c>
      <c r="N706" s="13"/>
      <c r="O706" s="12"/>
      <c r="P706" s="12"/>
      <c r="Q706" s="12"/>
      <c r="R706" s="12"/>
      <c r="S706" s="12">
        <v>12991</v>
      </c>
      <c r="T706" s="12"/>
      <c r="U706" s="12"/>
      <c r="V706" s="12">
        <v>12841</v>
      </c>
      <c r="W706" s="12"/>
      <c r="X706" s="12"/>
      <c r="Y706" s="12"/>
      <c r="Z706" s="12"/>
      <c r="AA706" s="12"/>
      <c r="AB706" s="12"/>
      <c r="AC706" s="12"/>
      <c r="AD706" s="12"/>
      <c r="AE706" s="12"/>
      <c r="AF706" s="13">
        <f>H706+I706+J706+K706+M706-N706</f>
        <v>51514</v>
      </c>
      <c r="AG706" s="13">
        <f>SUM(O706:AE706)</f>
        <v>25832</v>
      </c>
      <c r="AH706" s="13">
        <f>AF706-AG706</f>
        <v>25682</v>
      </c>
      <c r="AI706" s="12"/>
      <c r="AJ706" s="12"/>
      <c r="AK706" s="12"/>
    </row>
    <row r="707" spans="1:37">
      <c r="A707" s="10">
        <v>21</v>
      </c>
      <c r="B707" s="11">
        <v>1174</v>
      </c>
      <c r="C707" s="10" t="s">
        <v>737</v>
      </c>
      <c r="D707" s="11" t="s">
        <v>23</v>
      </c>
      <c r="E707" s="11"/>
      <c r="F707" s="10" t="s">
        <v>718</v>
      </c>
      <c r="G707" s="11" t="s">
        <v>26</v>
      </c>
      <c r="H707" s="9"/>
      <c r="I707" s="12"/>
      <c r="J707" s="12">
        <v>150</v>
      </c>
      <c r="K707" s="12">
        <v>2400</v>
      </c>
      <c r="L707" s="12">
        <v>12241</v>
      </c>
      <c r="M707" s="11">
        <f>L707*4+AI707-AJ707</f>
        <v>48964</v>
      </c>
      <c r="N707" s="13"/>
      <c r="O707" s="12"/>
      <c r="P707" s="12"/>
      <c r="Q707" s="12"/>
      <c r="R707" s="12"/>
      <c r="S707" s="12">
        <v>12991</v>
      </c>
      <c r="T707" s="12"/>
      <c r="U707" s="12"/>
      <c r="V707" s="12"/>
      <c r="W707" s="12"/>
      <c r="X707" s="12"/>
      <c r="Y707" s="12"/>
      <c r="Z707" s="12"/>
      <c r="AA707" s="12"/>
      <c r="AB707" s="12"/>
      <c r="AC707" s="12"/>
      <c r="AD707" s="12"/>
      <c r="AE707" s="12"/>
      <c r="AF707" s="13">
        <f>H707+I707+J707+K707+M707-N707</f>
        <v>51514</v>
      </c>
      <c r="AG707" s="13">
        <f>SUM(O707:AE707)</f>
        <v>12991</v>
      </c>
      <c r="AH707" s="13">
        <f>AF707-AG707</f>
        <v>38523</v>
      </c>
      <c r="AI707" s="12"/>
      <c r="AJ707" s="12"/>
      <c r="AK707" s="12"/>
    </row>
    <row r="708" spans="1:37">
      <c r="A708" s="10">
        <v>22</v>
      </c>
      <c r="B708" s="11">
        <v>913</v>
      </c>
      <c r="C708" s="10" t="s">
        <v>738</v>
      </c>
      <c r="D708" s="11" t="s">
        <v>28</v>
      </c>
      <c r="E708" s="11"/>
      <c r="F708" s="10" t="s">
        <v>718</v>
      </c>
      <c r="G708" s="11" t="s">
        <v>26</v>
      </c>
      <c r="H708" s="9"/>
      <c r="I708" s="12"/>
      <c r="J708" s="12">
        <v>150</v>
      </c>
      <c r="K708" s="12">
        <v>2400</v>
      </c>
      <c r="L708" s="12">
        <v>12241</v>
      </c>
      <c r="M708" s="11">
        <f>L708*4+AI708-AJ708</f>
        <v>48964</v>
      </c>
      <c r="N708" s="13"/>
      <c r="O708" s="12"/>
      <c r="P708" s="12"/>
      <c r="Q708" s="12"/>
      <c r="R708" s="12"/>
      <c r="S708" s="12">
        <v>12991</v>
      </c>
      <c r="T708" s="12"/>
      <c r="U708" s="12"/>
      <c r="V708" s="12"/>
      <c r="W708" s="12"/>
      <c r="X708" s="12"/>
      <c r="Y708" s="12"/>
      <c r="Z708" s="12"/>
      <c r="AA708" s="12"/>
      <c r="AB708" s="12"/>
      <c r="AC708" s="12"/>
      <c r="AD708" s="12"/>
      <c r="AE708" s="12"/>
      <c r="AF708" s="13">
        <f>H708+I708+J708+K708+M708-N708</f>
        <v>51514</v>
      </c>
      <c r="AG708" s="13">
        <f>SUM(O708:AE708)</f>
        <v>12991</v>
      </c>
      <c r="AH708" s="13">
        <f>AF708-AG708</f>
        <v>38523</v>
      </c>
      <c r="AI708" s="12"/>
      <c r="AJ708" s="12"/>
      <c r="AK708" s="12"/>
    </row>
    <row r="709" spans="1:37">
      <c r="A709" s="10">
        <v>23</v>
      </c>
      <c r="B709" s="11">
        <v>1351</v>
      </c>
      <c r="C709" s="10" t="s">
        <v>739</v>
      </c>
      <c r="D709" s="11" t="s">
        <v>28</v>
      </c>
      <c r="E709" s="11"/>
      <c r="F709" s="10" t="s">
        <v>718</v>
      </c>
      <c r="G709" s="11" t="s">
        <v>26</v>
      </c>
      <c r="H709" s="9"/>
      <c r="I709" s="12"/>
      <c r="J709" s="12">
        <v>150</v>
      </c>
      <c r="K709" s="12">
        <v>2400</v>
      </c>
      <c r="L709" s="12">
        <v>12241</v>
      </c>
      <c r="M709" s="11">
        <f>L709*4+AI709-AJ709</f>
        <v>48964</v>
      </c>
      <c r="N709" s="13"/>
      <c r="O709" s="12"/>
      <c r="P709" s="12"/>
      <c r="Q709" s="12"/>
      <c r="R709" s="12"/>
      <c r="S709" s="12">
        <v>12991</v>
      </c>
      <c r="T709" s="12"/>
      <c r="U709" s="12"/>
      <c r="V709" s="12"/>
      <c r="W709" s="12"/>
      <c r="X709" s="12"/>
      <c r="Y709" s="12"/>
      <c r="Z709" s="12"/>
      <c r="AA709" s="12"/>
      <c r="AB709" s="12"/>
      <c r="AC709" s="12"/>
      <c r="AD709" s="12"/>
      <c r="AE709" s="12"/>
      <c r="AF709" s="13">
        <f>H709+I709+J709+K709+M709-N709</f>
        <v>51514</v>
      </c>
      <c r="AG709" s="13">
        <f>SUM(O709:AE709)</f>
        <v>12991</v>
      </c>
      <c r="AH709" s="13">
        <f>AF709-AG709</f>
        <v>38523</v>
      </c>
      <c r="AI709" s="12"/>
      <c r="AJ709" s="12"/>
      <c r="AK709" s="12"/>
    </row>
    <row r="710" spans="1:37">
      <c r="A710" s="10">
        <v>24</v>
      </c>
      <c r="B710" s="11">
        <v>1584</v>
      </c>
      <c r="C710" s="10" t="s">
        <v>740</v>
      </c>
      <c r="D710" s="11" t="s">
        <v>28</v>
      </c>
      <c r="E710" s="11"/>
      <c r="F710" s="10" t="s">
        <v>718</v>
      </c>
      <c r="G710" s="11" t="s">
        <v>26</v>
      </c>
      <c r="H710" s="9"/>
      <c r="I710" s="12"/>
      <c r="J710" s="12">
        <v>150</v>
      </c>
      <c r="K710" s="12">
        <v>2400</v>
      </c>
      <c r="L710" s="12">
        <v>12241</v>
      </c>
      <c r="M710" s="11">
        <f>L710*4+AI710-AJ710</f>
        <v>48964</v>
      </c>
      <c r="N710" s="13"/>
      <c r="O710" s="12"/>
      <c r="P710" s="12"/>
      <c r="Q710" s="12"/>
      <c r="R710" s="12"/>
      <c r="S710" s="12">
        <v>12991</v>
      </c>
      <c r="T710" s="12"/>
      <c r="U710" s="12"/>
      <c r="V710" s="12"/>
      <c r="W710" s="12"/>
      <c r="X710" s="12"/>
      <c r="Y710" s="12"/>
      <c r="Z710" s="12"/>
      <c r="AA710" s="12"/>
      <c r="AB710" s="12"/>
      <c r="AC710" s="12"/>
      <c r="AD710" s="12"/>
      <c r="AE710" s="12"/>
      <c r="AF710" s="13">
        <f>H710+I710+J710+K710+M710-N710</f>
        <v>51514</v>
      </c>
      <c r="AG710" s="13">
        <f>SUM(O710:AE710)</f>
        <v>12991</v>
      </c>
      <c r="AH710" s="13">
        <f>AF710-AG710</f>
        <v>38523</v>
      </c>
      <c r="AI710" s="12"/>
      <c r="AJ710" s="12"/>
      <c r="AK710" s="12"/>
    </row>
    <row r="711" spans="1:37">
      <c r="A711" s="10">
        <v>25</v>
      </c>
      <c r="B711" s="11">
        <v>1137</v>
      </c>
      <c r="C711" s="10" t="s">
        <v>741</v>
      </c>
      <c r="D711" s="11" t="s">
        <v>23</v>
      </c>
      <c r="E711" s="11"/>
      <c r="F711" s="10" t="s">
        <v>718</v>
      </c>
      <c r="G711" s="11" t="s">
        <v>26</v>
      </c>
      <c r="H711" s="9"/>
      <c r="I711" s="12"/>
      <c r="J711" s="12">
        <v>150</v>
      </c>
      <c r="K711" s="12">
        <v>2400</v>
      </c>
      <c r="L711" s="12">
        <v>12241</v>
      </c>
      <c r="M711" s="11">
        <f>L711*4+AI711-AJ711</f>
        <v>48964</v>
      </c>
      <c r="N711" s="13"/>
      <c r="O711" s="12"/>
      <c r="P711" s="12"/>
      <c r="Q711" s="12"/>
      <c r="R711" s="12"/>
      <c r="S711" s="12"/>
      <c r="T711" s="12">
        <v>12991</v>
      </c>
      <c r="U711" s="12"/>
      <c r="V711" s="12"/>
      <c r="W711" s="12"/>
      <c r="X711" s="12"/>
      <c r="Y711" s="12"/>
      <c r="Z711" s="12"/>
      <c r="AA711" s="12"/>
      <c r="AB711" s="12"/>
      <c r="AC711" s="12"/>
      <c r="AD711" s="12"/>
      <c r="AE711" s="12"/>
      <c r="AF711" s="13">
        <f>H711+I711+J711+K711+M711-N711</f>
        <v>51514</v>
      </c>
      <c r="AG711" s="13">
        <f>SUM(O711:AE711)</f>
        <v>12991</v>
      </c>
      <c r="AH711" s="13">
        <f>AF711-AG711</f>
        <v>38523</v>
      </c>
      <c r="AI711" s="12"/>
      <c r="AJ711" s="12"/>
      <c r="AK711" s="12"/>
    </row>
    <row r="712" spans="1:37">
      <c r="A712" s="10">
        <v>26</v>
      </c>
      <c r="B712" s="27">
        <v>849</v>
      </c>
      <c r="C712" s="26" t="s">
        <v>742</v>
      </c>
      <c r="D712" s="27" t="s">
        <v>28</v>
      </c>
      <c r="E712" s="27"/>
      <c r="F712" s="26" t="s">
        <v>718</v>
      </c>
      <c r="G712" s="27" t="s">
        <v>26</v>
      </c>
      <c r="H712" s="9"/>
      <c r="I712" s="12"/>
      <c r="J712" s="12">
        <v>150</v>
      </c>
      <c r="K712" s="12">
        <v>2400</v>
      </c>
      <c r="L712" s="12">
        <v>6121</v>
      </c>
      <c r="M712" s="11">
        <f>L712*4+AI712-AJ712</f>
        <v>24484</v>
      </c>
      <c r="N712" s="13">
        <v>1226</v>
      </c>
      <c r="O712" s="12"/>
      <c r="P712" s="12"/>
      <c r="Q712" s="12"/>
      <c r="R712" s="12"/>
      <c r="S712" s="12"/>
      <c r="T712" s="11">
        <f>808+25000</f>
        <v>25808</v>
      </c>
      <c r="U712" s="12"/>
      <c r="V712" s="12"/>
      <c r="W712" s="12"/>
      <c r="X712" s="12"/>
      <c r="Y712" s="12"/>
      <c r="Z712" s="12"/>
      <c r="AA712" s="12"/>
      <c r="AB712" s="12"/>
      <c r="AC712" s="12"/>
      <c r="AD712" s="12"/>
      <c r="AE712" s="12"/>
      <c r="AF712" s="13">
        <f>H712+I712+J712+K712+M712-N712</f>
        <v>25808</v>
      </c>
      <c r="AG712" s="13">
        <f>SUM(O712:AE712)</f>
        <v>25808</v>
      </c>
      <c r="AH712" s="13">
        <f>AF712-AG712</f>
        <v>0</v>
      </c>
      <c r="AI712" s="12"/>
      <c r="AJ712" s="12"/>
      <c r="AK712" s="12"/>
    </row>
    <row r="713" spans="1:37">
      <c r="A713" s="10">
        <v>27</v>
      </c>
      <c r="B713" s="11">
        <v>855</v>
      </c>
      <c r="C713" s="10" t="s">
        <v>743</v>
      </c>
      <c r="D713" s="11" t="s">
        <v>23</v>
      </c>
      <c r="E713" s="11"/>
      <c r="F713" s="10" t="s">
        <v>718</v>
      </c>
      <c r="G713" s="11" t="s">
        <v>26</v>
      </c>
      <c r="H713" s="9"/>
      <c r="I713" s="12"/>
      <c r="J713" s="12">
        <v>150</v>
      </c>
      <c r="K713" s="12">
        <v>2400</v>
      </c>
      <c r="L713" s="12">
        <v>12241</v>
      </c>
      <c r="M713" s="11">
        <f>L713*4+AI713-AJ713</f>
        <v>48964</v>
      </c>
      <c r="N713" s="13"/>
      <c r="O713" s="12"/>
      <c r="P713" s="12"/>
      <c r="Q713" s="12"/>
      <c r="R713" s="12"/>
      <c r="S713" s="12"/>
      <c r="T713" s="12"/>
      <c r="U713" s="12"/>
      <c r="V713" s="12">
        <v>12841</v>
      </c>
      <c r="W713" s="12"/>
      <c r="X713" s="12"/>
      <c r="Y713" s="12"/>
      <c r="Z713" s="12"/>
      <c r="AA713" s="12"/>
      <c r="AB713" s="12"/>
      <c r="AC713" s="12"/>
      <c r="AD713" s="12"/>
      <c r="AE713" s="12"/>
      <c r="AF713" s="13">
        <f>H713+I713+J713+K713+M713-N713</f>
        <v>51514</v>
      </c>
      <c r="AG713" s="13">
        <f>SUM(O713:AE713)</f>
        <v>12841</v>
      </c>
      <c r="AH713" s="13">
        <f>AF713-AG713</f>
        <v>38673</v>
      </c>
      <c r="AI713" s="12"/>
      <c r="AJ713" s="12"/>
      <c r="AK713" s="12"/>
    </row>
    <row r="714" spans="1:37">
      <c r="A714" s="10">
        <v>28</v>
      </c>
      <c r="B714" s="11">
        <v>935</v>
      </c>
      <c r="C714" s="10" t="s">
        <v>744</v>
      </c>
      <c r="D714" s="11" t="s">
        <v>28</v>
      </c>
      <c r="E714" s="11"/>
      <c r="F714" s="10" t="s">
        <v>718</v>
      </c>
      <c r="G714" s="11" t="s">
        <v>26</v>
      </c>
      <c r="H714" s="9"/>
      <c r="I714" s="12"/>
      <c r="J714" s="12">
        <v>150</v>
      </c>
      <c r="K714" s="12">
        <v>2400</v>
      </c>
      <c r="L714" s="12">
        <v>12241</v>
      </c>
      <c r="M714" s="11">
        <f>L714*4+AI714-AJ714</f>
        <v>48964</v>
      </c>
      <c r="N714" s="13"/>
      <c r="O714" s="12"/>
      <c r="P714" s="12"/>
      <c r="Q714" s="12"/>
      <c r="R714" s="12"/>
      <c r="S714" s="12"/>
      <c r="T714" s="12"/>
      <c r="U714" s="12">
        <v>12991</v>
      </c>
      <c r="V714" s="12"/>
      <c r="W714" s="12"/>
      <c r="X714" s="12"/>
      <c r="Y714" s="12"/>
      <c r="Z714" s="12"/>
      <c r="AA714" s="12"/>
      <c r="AB714" s="12"/>
      <c r="AC714" s="12"/>
      <c r="AD714" s="12"/>
      <c r="AE714" s="12"/>
      <c r="AF714" s="13">
        <f>H714+I714+J714+K714+M714-N714</f>
        <v>51514</v>
      </c>
      <c r="AG714" s="13">
        <f>SUM(O714:AE714)</f>
        <v>12991</v>
      </c>
      <c r="AH714" s="13">
        <f>AF714-AG714</f>
        <v>38523</v>
      </c>
      <c r="AI714" s="12"/>
      <c r="AJ714" s="12"/>
      <c r="AK714" s="12"/>
    </row>
    <row r="715" spans="1:37">
      <c r="A715" s="10">
        <v>29</v>
      </c>
      <c r="B715" s="11">
        <v>901</v>
      </c>
      <c r="C715" s="10" t="s">
        <v>745</v>
      </c>
      <c r="D715" s="11" t="s">
        <v>28</v>
      </c>
      <c r="E715" s="11"/>
      <c r="F715" s="10" t="s">
        <v>718</v>
      </c>
      <c r="G715" s="11" t="s">
        <v>26</v>
      </c>
      <c r="H715" s="9"/>
      <c r="I715" s="12"/>
      <c r="J715" s="12">
        <v>150</v>
      </c>
      <c r="K715" s="12">
        <v>2400</v>
      </c>
      <c r="L715" s="12">
        <v>12241</v>
      </c>
      <c r="M715" s="11">
        <f>L715*4+AI715-AJ715</f>
        <v>48964</v>
      </c>
      <c r="N715" s="13"/>
      <c r="O715" s="12"/>
      <c r="P715" s="12"/>
      <c r="Q715" s="12"/>
      <c r="R715" s="12"/>
      <c r="S715" s="12"/>
      <c r="T715" s="12">
        <v>12991</v>
      </c>
      <c r="U715" s="12"/>
      <c r="V715" s="12">
        <v>12841</v>
      </c>
      <c r="W715" s="12"/>
      <c r="X715" s="12"/>
      <c r="Y715" s="12"/>
      <c r="Z715" s="12"/>
      <c r="AA715" s="12"/>
      <c r="AB715" s="12"/>
      <c r="AC715" s="12"/>
      <c r="AD715" s="12"/>
      <c r="AE715" s="12"/>
      <c r="AF715" s="13">
        <f>H715+I715+J715+K715+M715-N715</f>
        <v>51514</v>
      </c>
      <c r="AG715" s="13">
        <f>SUM(O715:AE715)</f>
        <v>25832</v>
      </c>
      <c r="AH715" s="13">
        <f>AF715-AG715</f>
        <v>25682</v>
      </c>
      <c r="AI715" s="12"/>
      <c r="AJ715" s="12"/>
      <c r="AK715" s="12"/>
    </row>
    <row r="716" spans="1:37">
      <c r="A716" s="10">
        <v>30</v>
      </c>
      <c r="B716" s="11">
        <v>819</v>
      </c>
      <c r="C716" s="10" t="s">
        <v>746</v>
      </c>
      <c r="D716" s="11" t="s">
        <v>28</v>
      </c>
      <c r="E716" s="11"/>
      <c r="F716" s="10" t="s">
        <v>718</v>
      </c>
      <c r="G716" s="11" t="s">
        <v>26</v>
      </c>
      <c r="H716" s="9"/>
      <c r="I716" s="12"/>
      <c r="J716" s="12">
        <v>150</v>
      </c>
      <c r="K716" s="12">
        <v>2400</v>
      </c>
      <c r="L716" s="12">
        <v>12241</v>
      </c>
      <c r="M716" s="11">
        <f>L716*4+AI716-AJ716</f>
        <v>48964</v>
      </c>
      <c r="N716" s="13">
        <v>2448</v>
      </c>
      <c r="O716" s="12"/>
      <c r="P716" s="12"/>
      <c r="Q716" s="12"/>
      <c r="R716" s="12"/>
      <c r="S716" s="12"/>
      <c r="T716" s="12">
        <v>49066</v>
      </c>
      <c r="U716" s="12"/>
      <c r="V716" s="12"/>
      <c r="W716" s="12"/>
      <c r="X716" s="12"/>
      <c r="Y716" s="12"/>
      <c r="Z716" s="12"/>
      <c r="AA716" s="12"/>
      <c r="AB716" s="12"/>
      <c r="AC716" s="12"/>
      <c r="AD716" s="12"/>
      <c r="AE716" s="12"/>
      <c r="AF716" s="13">
        <f>H716+I716+J716+K716+M716-N716</f>
        <v>49066</v>
      </c>
      <c r="AG716" s="13">
        <f>SUM(O716:AE716)</f>
        <v>49066</v>
      </c>
      <c r="AH716" s="13">
        <f>AF716-AG716</f>
        <v>0</v>
      </c>
      <c r="AI716" s="12"/>
      <c r="AJ716" s="12"/>
      <c r="AK716" s="12"/>
    </row>
    <row r="717" spans="1:37">
      <c r="A717" s="10">
        <v>31</v>
      </c>
      <c r="B717" s="11">
        <v>1739</v>
      </c>
      <c r="C717" s="10" t="s">
        <v>747</v>
      </c>
      <c r="D717" s="11" t="s">
        <v>28</v>
      </c>
      <c r="E717" s="11"/>
      <c r="F717" s="10" t="s">
        <v>718</v>
      </c>
      <c r="G717" s="11" t="s">
        <v>26</v>
      </c>
      <c r="H717" s="9"/>
      <c r="I717" s="12"/>
      <c r="J717" s="12">
        <v>150</v>
      </c>
      <c r="K717" s="12">
        <v>2400</v>
      </c>
      <c r="L717" s="12">
        <v>12241</v>
      </c>
      <c r="M717" s="11">
        <f>L717*4+AI717-AJ717</f>
        <v>48964</v>
      </c>
      <c r="N717" s="13"/>
      <c r="O717" s="12"/>
      <c r="P717" s="12"/>
      <c r="Q717" s="12"/>
      <c r="R717" s="12"/>
      <c r="S717" s="12"/>
      <c r="T717" s="12"/>
      <c r="U717" s="12"/>
      <c r="V717" s="12">
        <v>25832</v>
      </c>
      <c r="W717" s="12"/>
      <c r="X717" s="12"/>
      <c r="Y717" s="12"/>
      <c r="Z717" s="12"/>
      <c r="AA717" s="12"/>
      <c r="AB717" s="12"/>
      <c r="AC717" s="12"/>
      <c r="AD717" s="12"/>
      <c r="AE717" s="12"/>
      <c r="AF717" s="13">
        <f>H717+I717+J717+K717+M717-N717</f>
        <v>51514</v>
      </c>
      <c r="AG717" s="13">
        <f>SUM(O717:AE717)</f>
        <v>25832</v>
      </c>
      <c r="AH717" s="13">
        <f>AF717-AG717</f>
        <v>25682</v>
      </c>
      <c r="AI717" s="12"/>
      <c r="AJ717" s="12"/>
      <c r="AK717" s="12"/>
    </row>
    <row r="718" spans="1:37">
      <c r="A718" s="10">
        <v>1</v>
      </c>
      <c r="B718" s="11">
        <v>1135</v>
      </c>
      <c r="C718" s="10" t="s">
        <v>748</v>
      </c>
      <c r="D718" s="11" t="s">
        <v>23</v>
      </c>
      <c r="E718" s="11"/>
      <c r="F718" s="10" t="s">
        <v>718</v>
      </c>
      <c r="G718" s="11" t="s">
        <v>62</v>
      </c>
      <c r="H718" s="9"/>
      <c r="I718" s="12"/>
      <c r="J718" s="12">
        <v>150</v>
      </c>
      <c r="K718" s="12">
        <v>2400</v>
      </c>
      <c r="L718" s="12">
        <v>12241</v>
      </c>
      <c r="M718" s="11">
        <f>L718*4+AI718-AJ718</f>
        <v>48964</v>
      </c>
      <c r="N718" s="13"/>
      <c r="O718" s="12"/>
      <c r="P718" s="12"/>
      <c r="Q718" s="12"/>
      <c r="R718" s="12"/>
      <c r="S718" s="12"/>
      <c r="T718" s="12"/>
      <c r="U718" s="12">
        <v>12991</v>
      </c>
      <c r="V718" s="12"/>
      <c r="W718" s="12"/>
      <c r="X718" s="12"/>
      <c r="Y718" s="12"/>
      <c r="Z718" s="12"/>
      <c r="AA718" s="12"/>
      <c r="AB718" s="12"/>
      <c r="AC718" s="12"/>
      <c r="AD718" s="12"/>
      <c r="AE718" s="12"/>
      <c r="AF718" s="13">
        <f>H718+I718+J718+K718+M718-N718</f>
        <v>51514</v>
      </c>
      <c r="AG718" s="13">
        <f>SUM(O718:AE718)</f>
        <v>12991</v>
      </c>
      <c r="AH718" s="13">
        <f>AF718-AG718</f>
        <v>38523</v>
      </c>
      <c r="AI718" s="12"/>
      <c r="AJ718" s="12"/>
      <c r="AK718" s="12"/>
    </row>
    <row r="719" spans="1:37">
      <c r="A719" s="10">
        <v>2</v>
      </c>
      <c r="B719" s="11">
        <v>1141</v>
      </c>
      <c r="C719" s="10" t="s">
        <v>749</v>
      </c>
      <c r="D719" s="11" t="s">
        <v>28</v>
      </c>
      <c r="E719" s="11"/>
      <c r="F719" s="10" t="s">
        <v>718</v>
      </c>
      <c r="G719" s="11" t="s">
        <v>62</v>
      </c>
      <c r="H719" s="9"/>
      <c r="I719" s="12"/>
      <c r="J719" s="12">
        <v>150</v>
      </c>
      <c r="K719" s="12">
        <v>2400</v>
      </c>
      <c r="L719" s="12">
        <v>12241</v>
      </c>
      <c r="M719" s="11">
        <f>L719*4+AI719-AJ719</f>
        <v>48964</v>
      </c>
      <c r="N719" s="13">
        <v>2448</v>
      </c>
      <c r="O719" s="12"/>
      <c r="P719" s="12"/>
      <c r="Q719" s="12"/>
      <c r="R719" s="12"/>
      <c r="S719" s="12"/>
      <c r="T719" s="12">
        <v>49066</v>
      </c>
      <c r="U719" s="12"/>
      <c r="V719" s="12"/>
      <c r="W719" s="12"/>
      <c r="X719" s="12"/>
      <c r="Y719" s="12"/>
      <c r="Z719" s="12"/>
      <c r="AA719" s="12"/>
      <c r="AB719" s="12"/>
      <c r="AC719" s="12"/>
      <c r="AD719" s="12"/>
      <c r="AE719" s="12"/>
      <c r="AF719" s="13">
        <f>H719+I719+J719+K719+M719-N719</f>
        <v>49066</v>
      </c>
      <c r="AG719" s="13">
        <f>SUM(O719:AE719)</f>
        <v>49066</v>
      </c>
      <c r="AH719" s="13">
        <f>AF719-AG719</f>
        <v>0</v>
      </c>
      <c r="AI719" s="12"/>
      <c r="AJ719" s="12"/>
      <c r="AK719" s="12"/>
    </row>
    <row r="720" spans="1:37">
      <c r="A720" s="10">
        <v>3</v>
      </c>
      <c r="B720" s="11">
        <v>876</v>
      </c>
      <c r="C720" s="10" t="s">
        <v>750</v>
      </c>
      <c r="D720" s="11" t="s">
        <v>28</v>
      </c>
      <c r="E720" s="11"/>
      <c r="F720" s="10" t="s">
        <v>718</v>
      </c>
      <c r="G720" s="11" t="s">
        <v>62</v>
      </c>
      <c r="H720" s="9"/>
      <c r="I720" s="12"/>
      <c r="J720" s="12">
        <v>150</v>
      </c>
      <c r="K720" s="12">
        <v>2400</v>
      </c>
      <c r="L720" s="12">
        <v>12241</v>
      </c>
      <c r="M720" s="11">
        <f>L720*4+AI720-AJ720</f>
        <v>48964</v>
      </c>
      <c r="N720" s="13"/>
      <c r="O720" s="12"/>
      <c r="P720" s="12"/>
      <c r="Q720" s="12"/>
      <c r="R720" s="12"/>
      <c r="S720" s="12"/>
      <c r="T720" s="12">
        <v>12991</v>
      </c>
      <c r="U720" s="12"/>
      <c r="V720" s="12">
        <v>12841</v>
      </c>
      <c r="W720" s="12"/>
      <c r="X720" s="12"/>
      <c r="Y720" s="12"/>
      <c r="Z720" s="12"/>
      <c r="AA720" s="12"/>
      <c r="AB720" s="12"/>
      <c r="AC720" s="12"/>
      <c r="AD720" s="12"/>
      <c r="AE720" s="12"/>
      <c r="AF720" s="13">
        <f>H720+I720+J720+K720+M720-N720</f>
        <v>51514</v>
      </c>
      <c r="AG720" s="13">
        <f>SUM(O720:AE720)</f>
        <v>25832</v>
      </c>
      <c r="AH720" s="13">
        <f>AF720-AG720</f>
        <v>25682</v>
      </c>
      <c r="AI720" s="12"/>
      <c r="AJ720" s="12"/>
      <c r="AK720" s="12"/>
    </row>
    <row r="721" spans="1:37">
      <c r="A721" s="10">
        <v>4</v>
      </c>
      <c r="B721" s="27">
        <v>1612</v>
      </c>
      <c r="C721" s="26" t="s">
        <v>751</v>
      </c>
      <c r="D721" s="27" t="s">
        <v>28</v>
      </c>
      <c r="E721" s="27"/>
      <c r="F721" s="26" t="s">
        <v>718</v>
      </c>
      <c r="G721" s="27" t="s">
        <v>62</v>
      </c>
      <c r="H721" s="9"/>
      <c r="I721" s="12"/>
      <c r="J721" s="12">
        <v>150</v>
      </c>
      <c r="K721" s="12">
        <v>2400</v>
      </c>
      <c r="L721" s="12">
        <v>6121</v>
      </c>
      <c r="M721" s="11">
        <f>L721*4+AI721-AJ721</f>
        <v>24484</v>
      </c>
      <c r="N721" s="13"/>
      <c r="O721" s="12"/>
      <c r="P721" s="12"/>
      <c r="Q721" s="12"/>
      <c r="R721" s="12"/>
      <c r="S721" s="12"/>
      <c r="T721" s="11">
        <f>2000+2000+2000+871</f>
        <v>6871</v>
      </c>
      <c r="U721" s="12"/>
      <c r="V721" s="12"/>
      <c r="W721" s="12"/>
      <c r="X721" s="12"/>
      <c r="Y721" s="12"/>
      <c r="Z721" s="12"/>
      <c r="AA721" s="12"/>
      <c r="AB721" s="12"/>
      <c r="AC721" s="12"/>
      <c r="AD721" s="12"/>
      <c r="AE721" s="12"/>
      <c r="AF721" s="13">
        <f>H721+I721+J721+K721+M721-N721</f>
        <v>27034</v>
      </c>
      <c r="AG721" s="13">
        <f>SUM(O721:AE721)</f>
        <v>6871</v>
      </c>
      <c r="AH721" s="13">
        <f>AF721-AG721</f>
        <v>20163</v>
      </c>
      <c r="AI721" s="12"/>
      <c r="AJ721" s="12"/>
      <c r="AK721" s="12"/>
    </row>
    <row r="722" spans="1:37">
      <c r="A722" s="10">
        <v>5</v>
      </c>
      <c r="B722" s="22">
        <v>2256</v>
      </c>
      <c r="C722" s="21" t="s">
        <v>752</v>
      </c>
      <c r="D722" s="22" t="s">
        <v>23</v>
      </c>
      <c r="E722" s="22" t="s">
        <v>24</v>
      </c>
      <c r="F722" s="21" t="s">
        <v>718</v>
      </c>
      <c r="G722" s="22" t="s">
        <v>62</v>
      </c>
      <c r="H722" s="9">
        <v>5000</v>
      </c>
      <c r="I722" s="12">
        <v>1200</v>
      </c>
      <c r="J722" s="12">
        <v>150</v>
      </c>
      <c r="K722" s="12">
        <v>2400</v>
      </c>
      <c r="L722" s="12">
        <v>12241</v>
      </c>
      <c r="M722" s="11">
        <f>L722*4+AI722-AJ722</f>
        <v>48964</v>
      </c>
      <c r="N722" s="13"/>
      <c r="O722" s="12">
        <v>5000</v>
      </c>
      <c r="P722" s="12">
        <v>1200</v>
      </c>
      <c r="Q722" s="12"/>
      <c r="R722" s="12"/>
      <c r="S722" s="11">
        <f>12241+150+600</f>
        <v>12991</v>
      </c>
      <c r="T722" s="12"/>
      <c r="U722" s="12"/>
      <c r="V722" s="12">
        <v>12841</v>
      </c>
      <c r="W722" s="12"/>
      <c r="X722" s="12"/>
      <c r="Y722" s="12"/>
      <c r="Z722" s="12"/>
      <c r="AA722" s="12"/>
      <c r="AB722" s="12"/>
      <c r="AC722" s="12"/>
      <c r="AD722" s="12"/>
      <c r="AE722" s="12"/>
      <c r="AF722" s="13">
        <f>H722+I722+J722+K722+M722-N722</f>
        <v>57714</v>
      </c>
      <c r="AG722" s="13">
        <f>SUM(O722:AE722)</f>
        <v>32032</v>
      </c>
      <c r="AH722" s="13">
        <f>AF722-AG722</f>
        <v>25682</v>
      </c>
      <c r="AI722" s="12"/>
      <c r="AJ722" s="12"/>
      <c r="AK722" s="12"/>
    </row>
    <row r="723" spans="1:37">
      <c r="A723" s="10">
        <v>6</v>
      </c>
      <c r="B723" s="11">
        <v>1056</v>
      </c>
      <c r="C723" s="10" t="s">
        <v>753</v>
      </c>
      <c r="D723" s="11" t="s">
        <v>28</v>
      </c>
      <c r="E723" s="11"/>
      <c r="F723" s="10" t="s">
        <v>718</v>
      </c>
      <c r="G723" s="11" t="s">
        <v>62</v>
      </c>
      <c r="H723" s="9"/>
      <c r="I723" s="12"/>
      <c r="J723" s="12">
        <v>150</v>
      </c>
      <c r="K723" s="12">
        <v>2400</v>
      </c>
      <c r="L723" s="12">
        <v>12241</v>
      </c>
      <c r="M723" s="11">
        <f>L723*4+AI723-AJ723</f>
        <v>48964</v>
      </c>
      <c r="N723" s="13"/>
      <c r="O723" s="12"/>
      <c r="P723" s="12"/>
      <c r="Q723" s="12"/>
      <c r="R723" s="12"/>
      <c r="S723" s="12"/>
      <c r="T723" s="12">
        <v>12991</v>
      </c>
      <c r="U723" s="12"/>
      <c r="V723" s="12"/>
      <c r="W723" s="12"/>
      <c r="X723" s="12"/>
      <c r="Y723" s="12"/>
      <c r="Z723" s="12"/>
      <c r="AA723" s="12"/>
      <c r="AB723" s="12"/>
      <c r="AC723" s="12"/>
      <c r="AD723" s="12"/>
      <c r="AE723" s="12"/>
      <c r="AF723" s="13">
        <f>H723+I723+J723+K723+M723-N723</f>
        <v>51514</v>
      </c>
      <c r="AG723" s="13">
        <f>SUM(O723:AE723)</f>
        <v>12991</v>
      </c>
      <c r="AH723" s="13">
        <f>AF723-AG723</f>
        <v>38523</v>
      </c>
      <c r="AI723" s="12"/>
      <c r="AJ723" s="12"/>
      <c r="AK723" s="12"/>
    </row>
    <row r="724" spans="1:37">
      <c r="A724" s="10">
        <v>7</v>
      </c>
      <c r="B724" s="11">
        <v>1144</v>
      </c>
      <c r="C724" s="10" t="s">
        <v>754</v>
      </c>
      <c r="D724" s="11" t="s">
        <v>23</v>
      </c>
      <c r="E724" s="11"/>
      <c r="F724" s="10" t="s">
        <v>718</v>
      </c>
      <c r="G724" s="11" t="s">
        <v>62</v>
      </c>
      <c r="H724" s="9"/>
      <c r="I724" s="12"/>
      <c r="J724" s="12">
        <v>150</v>
      </c>
      <c r="K724" s="12">
        <v>2400</v>
      </c>
      <c r="L724" s="12">
        <v>12241</v>
      </c>
      <c r="M724" s="11">
        <f>L724*4+AI724-AJ724</f>
        <v>48964</v>
      </c>
      <c r="N724" s="13"/>
      <c r="O724" s="12"/>
      <c r="P724" s="12"/>
      <c r="Q724" s="12"/>
      <c r="R724" s="12"/>
      <c r="S724" s="12"/>
      <c r="T724" s="12"/>
      <c r="U724" s="12"/>
      <c r="V724" s="12">
        <v>12841</v>
      </c>
      <c r="W724" s="12"/>
      <c r="X724" s="12"/>
      <c r="Y724" s="12"/>
      <c r="Z724" s="12"/>
      <c r="AA724" s="12"/>
      <c r="AB724" s="12"/>
      <c r="AC724" s="12"/>
      <c r="AD724" s="12"/>
      <c r="AE724" s="12"/>
      <c r="AF724" s="13">
        <f>H724+I724+J724+K724+M724-N724</f>
        <v>51514</v>
      </c>
      <c r="AG724" s="13">
        <f>SUM(O724:AE724)</f>
        <v>12841</v>
      </c>
      <c r="AH724" s="13">
        <f>AF724-AG724</f>
        <v>38673</v>
      </c>
      <c r="AI724" s="12"/>
      <c r="AJ724" s="12"/>
      <c r="AK724" s="12"/>
    </row>
    <row r="725" spans="1:37">
      <c r="A725" s="10">
        <v>8</v>
      </c>
      <c r="B725" s="27">
        <v>1167</v>
      </c>
      <c r="C725" s="26" t="s">
        <v>755</v>
      </c>
      <c r="D725" s="27" t="s">
        <v>28</v>
      </c>
      <c r="E725" s="27"/>
      <c r="F725" s="26" t="s">
        <v>718</v>
      </c>
      <c r="G725" s="27" t="s">
        <v>62</v>
      </c>
      <c r="H725" s="9"/>
      <c r="I725" s="12"/>
      <c r="J725" s="12">
        <v>150</v>
      </c>
      <c r="K725" s="12">
        <v>2400</v>
      </c>
      <c r="L725" s="12">
        <v>6121</v>
      </c>
      <c r="M725" s="11">
        <f>L725*4+AI725-AJ725</f>
        <v>24484</v>
      </c>
      <c r="N725" s="13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  <c r="AA725" s="12"/>
      <c r="AB725" s="12"/>
      <c r="AC725" s="12"/>
      <c r="AD725" s="12"/>
      <c r="AE725" s="12"/>
      <c r="AF725" s="13">
        <f>H725+I725+J725+K725+M725-N725</f>
        <v>27034</v>
      </c>
      <c r="AG725" s="13">
        <f>SUM(O725:AE725)</f>
        <v>0</v>
      </c>
      <c r="AH725" s="13">
        <f>AF725-AG725</f>
        <v>27034</v>
      </c>
      <c r="AI725" s="12"/>
      <c r="AJ725" s="12"/>
      <c r="AK725" s="12"/>
    </row>
    <row r="726" spans="1:37">
      <c r="A726" s="10">
        <v>9</v>
      </c>
      <c r="B726" s="11">
        <v>906</v>
      </c>
      <c r="C726" s="10" t="s">
        <v>756</v>
      </c>
      <c r="D726" s="11" t="s">
        <v>28</v>
      </c>
      <c r="E726" s="11"/>
      <c r="F726" s="10" t="s">
        <v>718</v>
      </c>
      <c r="G726" s="11" t="s">
        <v>62</v>
      </c>
      <c r="H726" s="9"/>
      <c r="I726" s="12"/>
      <c r="J726" s="12">
        <v>150</v>
      </c>
      <c r="K726" s="12">
        <v>2400</v>
      </c>
      <c r="L726" s="12">
        <v>12241</v>
      </c>
      <c r="M726" s="11">
        <f>L726*4+AI726-AJ726</f>
        <v>48964</v>
      </c>
      <c r="N726" s="13"/>
      <c r="O726" s="12"/>
      <c r="P726" s="12"/>
      <c r="Q726" s="12"/>
      <c r="R726" s="12"/>
      <c r="S726" s="12">
        <v>12991</v>
      </c>
      <c r="T726" s="12"/>
      <c r="U726" s="12"/>
      <c r="V726" s="12"/>
      <c r="W726" s="12"/>
      <c r="X726" s="12"/>
      <c r="Y726" s="12"/>
      <c r="Z726" s="12"/>
      <c r="AA726" s="12"/>
      <c r="AB726" s="12"/>
      <c r="AC726" s="12"/>
      <c r="AD726" s="12"/>
      <c r="AE726" s="12"/>
      <c r="AF726" s="13">
        <f>H726+I726+J726+K726+M726-N726</f>
        <v>51514</v>
      </c>
      <c r="AG726" s="13">
        <f>SUM(O726:AE726)</f>
        <v>12991</v>
      </c>
      <c r="AH726" s="13">
        <f>AF726-AG726</f>
        <v>38523</v>
      </c>
      <c r="AI726" s="12"/>
      <c r="AJ726" s="12"/>
      <c r="AK726" s="12"/>
    </row>
    <row r="727" spans="1:37">
      <c r="A727" s="10">
        <v>10</v>
      </c>
      <c r="B727" s="11">
        <v>889</v>
      </c>
      <c r="C727" s="10" t="s">
        <v>757</v>
      </c>
      <c r="D727" s="11" t="s">
        <v>28</v>
      </c>
      <c r="E727" s="11"/>
      <c r="F727" s="10" t="s">
        <v>718</v>
      </c>
      <c r="G727" s="11" t="s">
        <v>62</v>
      </c>
      <c r="H727" s="9"/>
      <c r="I727" s="12"/>
      <c r="J727" s="12">
        <v>150</v>
      </c>
      <c r="K727" s="12">
        <v>2400</v>
      </c>
      <c r="L727" s="12">
        <v>12241</v>
      </c>
      <c r="M727" s="11">
        <f>L727*4+AI727-AJ727</f>
        <v>48964</v>
      </c>
      <c r="N727" s="13"/>
      <c r="O727" s="12"/>
      <c r="P727" s="12"/>
      <c r="Q727" s="12"/>
      <c r="R727" s="12"/>
      <c r="S727" s="12"/>
      <c r="T727" s="12"/>
      <c r="U727" s="12">
        <v>12991</v>
      </c>
      <c r="V727" s="12"/>
      <c r="W727" s="12"/>
      <c r="X727" s="12"/>
      <c r="Y727" s="12"/>
      <c r="Z727" s="12"/>
      <c r="AA727" s="12"/>
      <c r="AB727" s="12"/>
      <c r="AC727" s="12"/>
      <c r="AD727" s="12"/>
      <c r="AE727" s="12"/>
      <c r="AF727" s="13">
        <f>H727+I727+J727+K727+M727-N727</f>
        <v>51514</v>
      </c>
      <c r="AG727" s="13">
        <f>SUM(O727:AE727)</f>
        <v>12991</v>
      </c>
      <c r="AH727" s="13">
        <f>AF727-AG727</f>
        <v>38523</v>
      </c>
      <c r="AI727" s="12"/>
      <c r="AJ727" s="12"/>
      <c r="AK727" s="12"/>
    </row>
    <row r="728" spans="1:37">
      <c r="A728" s="10">
        <v>11</v>
      </c>
      <c r="B728" s="11">
        <v>1525</v>
      </c>
      <c r="C728" s="10" t="s">
        <v>758</v>
      </c>
      <c r="D728" s="11" t="s">
        <v>23</v>
      </c>
      <c r="E728" s="11"/>
      <c r="F728" s="10" t="s">
        <v>718</v>
      </c>
      <c r="G728" s="11" t="s">
        <v>62</v>
      </c>
      <c r="H728" s="9"/>
      <c r="I728" s="12"/>
      <c r="J728" s="12">
        <v>150</v>
      </c>
      <c r="K728" s="12">
        <v>2400</v>
      </c>
      <c r="L728" s="12">
        <v>12241</v>
      </c>
      <c r="M728" s="11">
        <f>L728*4+AI728-AJ728</f>
        <v>48964</v>
      </c>
      <c r="N728" s="13">
        <v>2448</v>
      </c>
      <c r="O728" s="12"/>
      <c r="P728" s="12"/>
      <c r="Q728" s="12"/>
      <c r="R728" s="12"/>
      <c r="S728" s="12">
        <v>49066</v>
      </c>
      <c r="T728" s="12"/>
      <c r="U728" s="12"/>
      <c r="V728" s="12"/>
      <c r="W728" s="12"/>
      <c r="X728" s="12"/>
      <c r="Y728" s="12"/>
      <c r="Z728" s="12"/>
      <c r="AA728" s="12"/>
      <c r="AB728" s="12"/>
      <c r="AC728" s="12"/>
      <c r="AD728" s="12"/>
      <c r="AE728" s="12"/>
      <c r="AF728" s="13">
        <f>H728+I728+J728+K728+M728-N728</f>
        <v>49066</v>
      </c>
      <c r="AG728" s="13">
        <f>SUM(O728:AE728)</f>
        <v>49066</v>
      </c>
      <c r="AH728" s="13">
        <f>AF728-AG728</f>
        <v>0</v>
      </c>
      <c r="AI728" s="12"/>
      <c r="AJ728" s="12"/>
      <c r="AK728" s="12"/>
    </row>
    <row r="729" spans="1:37">
      <c r="A729" s="10">
        <v>12</v>
      </c>
      <c r="B729" s="27">
        <v>880</v>
      </c>
      <c r="C729" s="26" t="s">
        <v>759</v>
      </c>
      <c r="D729" s="27" t="s">
        <v>23</v>
      </c>
      <c r="E729" s="27"/>
      <c r="F729" s="26" t="s">
        <v>718</v>
      </c>
      <c r="G729" s="27" t="s">
        <v>62</v>
      </c>
      <c r="H729" s="9"/>
      <c r="I729" s="12"/>
      <c r="J729" s="12">
        <v>150</v>
      </c>
      <c r="K729" s="12">
        <v>2400</v>
      </c>
      <c r="L729" s="12">
        <v>6121</v>
      </c>
      <c r="M729" s="11">
        <f>L729*4+AI729-AJ729</f>
        <v>24484</v>
      </c>
      <c r="N729" s="13"/>
      <c r="O729" s="12"/>
      <c r="P729" s="12"/>
      <c r="Q729" s="12"/>
      <c r="R729" s="12"/>
      <c r="S729" s="12"/>
      <c r="T729" s="12"/>
      <c r="U729" s="12"/>
      <c r="V729" s="11">
        <f>2000+2000+2000</f>
        <v>6000</v>
      </c>
      <c r="W729" s="12"/>
      <c r="X729" s="12"/>
      <c r="Y729" s="12"/>
      <c r="Z729" s="12"/>
      <c r="AA729" s="12"/>
      <c r="AB729" s="12"/>
      <c r="AC729" s="12"/>
      <c r="AD729" s="12"/>
      <c r="AE729" s="12"/>
      <c r="AF729" s="13">
        <f>H729+I729+J729+K729+M729-N729</f>
        <v>27034</v>
      </c>
      <c r="AG729" s="13">
        <f>SUM(O729:AE729)</f>
        <v>6000</v>
      </c>
      <c r="AH729" s="13">
        <f>AF729-AG729</f>
        <v>21034</v>
      </c>
      <c r="AI729" s="12"/>
      <c r="AJ729" s="12"/>
      <c r="AK729" s="12"/>
    </row>
    <row r="730" spans="1:37">
      <c r="A730" s="10">
        <v>13</v>
      </c>
      <c r="B730" s="11">
        <v>1550</v>
      </c>
      <c r="C730" s="10" t="s">
        <v>760</v>
      </c>
      <c r="D730" s="11" t="s">
        <v>23</v>
      </c>
      <c r="E730" s="11"/>
      <c r="F730" s="10" t="s">
        <v>718</v>
      </c>
      <c r="G730" s="11" t="s">
        <v>62</v>
      </c>
      <c r="H730" s="9"/>
      <c r="I730" s="12"/>
      <c r="J730" s="12">
        <v>150</v>
      </c>
      <c r="K730" s="12">
        <v>2400</v>
      </c>
      <c r="L730" s="12">
        <v>12241</v>
      </c>
      <c r="M730" s="11">
        <f>L730*4+AI730-AJ730</f>
        <v>48964</v>
      </c>
      <c r="N730" s="13"/>
      <c r="O730" s="12"/>
      <c r="P730" s="12"/>
      <c r="Q730" s="12"/>
      <c r="R730" s="12"/>
      <c r="S730" s="12"/>
      <c r="T730" s="12">
        <v>12991</v>
      </c>
      <c r="U730" s="12"/>
      <c r="V730" s="12"/>
      <c r="W730" s="12"/>
      <c r="X730" s="12"/>
      <c r="Y730" s="12"/>
      <c r="Z730" s="12"/>
      <c r="AA730" s="12"/>
      <c r="AB730" s="12"/>
      <c r="AC730" s="12"/>
      <c r="AD730" s="12"/>
      <c r="AE730" s="12"/>
      <c r="AF730" s="13">
        <f>H730+I730+J730+K730+M730-N730</f>
        <v>51514</v>
      </c>
      <c r="AG730" s="13">
        <f>SUM(O730:AE730)</f>
        <v>12991</v>
      </c>
      <c r="AH730" s="13">
        <f>AF730-AG730</f>
        <v>38523</v>
      </c>
      <c r="AI730" s="12"/>
      <c r="AJ730" s="12"/>
      <c r="AK730" s="12"/>
    </row>
    <row r="731" spans="1:37">
      <c r="A731" s="10">
        <v>14</v>
      </c>
      <c r="B731" s="11">
        <v>1742</v>
      </c>
      <c r="C731" s="10" t="s">
        <v>761</v>
      </c>
      <c r="D731" s="11" t="s">
        <v>23</v>
      </c>
      <c r="E731" s="11"/>
      <c r="F731" s="10" t="s">
        <v>718</v>
      </c>
      <c r="G731" s="11" t="s">
        <v>62</v>
      </c>
      <c r="H731" s="9"/>
      <c r="I731" s="12"/>
      <c r="J731" s="12">
        <v>150</v>
      </c>
      <c r="K731" s="12">
        <v>2400</v>
      </c>
      <c r="L731" s="12">
        <v>12241</v>
      </c>
      <c r="M731" s="11">
        <f>L731*4+AI731-AJ731</f>
        <v>48964</v>
      </c>
      <c r="N731" s="13"/>
      <c r="O731" s="12"/>
      <c r="P731" s="12"/>
      <c r="Q731" s="12"/>
      <c r="R731" s="12"/>
      <c r="S731" s="12"/>
      <c r="T731" s="12">
        <v>12991</v>
      </c>
      <c r="U731" s="12"/>
      <c r="V731" s="12"/>
      <c r="W731" s="12"/>
      <c r="X731" s="12"/>
      <c r="Y731" s="12"/>
      <c r="Z731" s="12"/>
      <c r="AA731" s="12"/>
      <c r="AB731" s="12"/>
      <c r="AC731" s="12"/>
      <c r="AD731" s="12"/>
      <c r="AE731" s="12"/>
      <c r="AF731" s="13">
        <f>H731+I731+J731+K731+M731-N731</f>
        <v>51514</v>
      </c>
      <c r="AG731" s="13">
        <f>SUM(O731:AE731)</f>
        <v>12991</v>
      </c>
      <c r="AH731" s="13">
        <f>AF731-AG731</f>
        <v>38523</v>
      </c>
      <c r="AI731" s="12"/>
      <c r="AJ731" s="12"/>
      <c r="AK731" s="12"/>
    </row>
    <row r="732" spans="1:37">
      <c r="A732" s="10">
        <v>15</v>
      </c>
      <c r="B732" s="22">
        <v>2250</v>
      </c>
      <c r="C732" s="21" t="s">
        <v>762</v>
      </c>
      <c r="D732" s="22" t="s">
        <v>28</v>
      </c>
      <c r="E732" s="22" t="s">
        <v>24</v>
      </c>
      <c r="F732" s="21" t="s">
        <v>718</v>
      </c>
      <c r="G732" s="22" t="s">
        <v>62</v>
      </c>
      <c r="H732" s="9">
        <v>5000</v>
      </c>
      <c r="I732" s="12">
        <v>1200</v>
      </c>
      <c r="J732" s="12">
        <v>150</v>
      </c>
      <c r="K732" s="12">
        <v>2400</v>
      </c>
      <c r="L732" s="12">
        <v>12241</v>
      </c>
      <c r="M732" s="11">
        <f>L732*4+AI732-AJ732</f>
        <v>48964</v>
      </c>
      <c r="N732" s="13"/>
      <c r="O732" s="12">
        <v>5000</v>
      </c>
      <c r="P732" s="12">
        <v>1200</v>
      </c>
      <c r="Q732" s="12"/>
      <c r="R732" s="12"/>
      <c r="S732" s="11">
        <f>12241+150+600</f>
        <v>12991</v>
      </c>
      <c r="T732" s="12"/>
      <c r="U732" s="12"/>
      <c r="V732" s="12"/>
      <c r="W732" s="12"/>
      <c r="X732" s="12"/>
      <c r="Y732" s="12"/>
      <c r="Z732" s="12"/>
      <c r="AA732" s="12"/>
      <c r="AB732" s="12"/>
      <c r="AC732" s="12"/>
      <c r="AD732" s="12"/>
      <c r="AE732" s="12"/>
      <c r="AF732" s="13">
        <f>H732+I732+J732+K732+M732-N732</f>
        <v>57714</v>
      </c>
      <c r="AG732" s="13">
        <f>SUM(O732:AE732)</f>
        <v>19191</v>
      </c>
      <c r="AH732" s="13">
        <f>AF732-AG732</f>
        <v>38523</v>
      </c>
      <c r="AI732" s="12"/>
      <c r="AJ732" s="12"/>
      <c r="AK732" s="12"/>
    </row>
    <row r="733" spans="1:37">
      <c r="A733" s="10">
        <v>16</v>
      </c>
      <c r="B733" s="16">
        <v>2071</v>
      </c>
      <c r="C733" s="16" t="s">
        <v>193</v>
      </c>
      <c r="D733" s="16" t="s">
        <v>28</v>
      </c>
      <c r="E733" s="16"/>
      <c r="F733" s="10" t="s">
        <v>718</v>
      </c>
      <c r="G733" s="12" t="s">
        <v>62</v>
      </c>
      <c r="H733" s="9"/>
      <c r="I733" s="12"/>
      <c r="J733" s="12">
        <v>150</v>
      </c>
      <c r="K733" s="12">
        <v>2400</v>
      </c>
      <c r="L733" s="12">
        <v>12241</v>
      </c>
      <c r="M733" s="11">
        <f>L733*4+AI733-AJ733</f>
        <v>48964</v>
      </c>
      <c r="N733" s="13"/>
      <c r="O733" s="9"/>
      <c r="P733" s="12"/>
      <c r="Q733" s="12"/>
      <c r="R733" s="12"/>
      <c r="S733" s="12">
        <v>12991</v>
      </c>
      <c r="T733" s="12"/>
      <c r="U733" s="12"/>
      <c r="V733" s="12"/>
      <c r="W733" s="12"/>
      <c r="X733" s="12"/>
      <c r="Y733" s="12"/>
      <c r="Z733" s="12"/>
      <c r="AA733" s="12"/>
      <c r="AB733" s="12"/>
      <c r="AC733" s="12"/>
      <c r="AD733" s="12"/>
      <c r="AE733" s="12"/>
      <c r="AF733" s="13">
        <f>H733+I733+J733+K733+M733-N733</f>
        <v>51514</v>
      </c>
      <c r="AG733" s="13">
        <f>SUM(O733:AE733)</f>
        <v>12991</v>
      </c>
      <c r="AH733" s="13">
        <f>AF733-AG733</f>
        <v>38523</v>
      </c>
      <c r="AI733" s="12"/>
      <c r="AJ733" s="12"/>
      <c r="AK733" s="12"/>
    </row>
    <row r="734" spans="1:37">
      <c r="A734" s="10">
        <v>17</v>
      </c>
      <c r="B734" s="11">
        <v>1899</v>
      </c>
      <c r="C734" s="10" t="s">
        <v>763</v>
      </c>
      <c r="D734" s="11" t="s">
        <v>28</v>
      </c>
      <c r="E734" s="11"/>
      <c r="F734" s="10" t="s">
        <v>718</v>
      </c>
      <c r="G734" s="11" t="s">
        <v>62</v>
      </c>
      <c r="H734" s="9"/>
      <c r="I734" s="12"/>
      <c r="J734" s="12">
        <v>150</v>
      </c>
      <c r="K734" s="12">
        <v>2400</v>
      </c>
      <c r="L734" s="12">
        <v>12241</v>
      </c>
      <c r="M734" s="11">
        <f>L734*4+AI734-AJ734</f>
        <v>48964</v>
      </c>
      <c r="N734" s="13"/>
      <c r="O734" s="12"/>
      <c r="P734" s="12"/>
      <c r="Q734" s="12"/>
      <c r="R734" s="12"/>
      <c r="S734" s="12"/>
      <c r="T734" s="12">
        <v>12991</v>
      </c>
      <c r="U734" s="12"/>
      <c r="V734" s="12"/>
      <c r="W734" s="12"/>
      <c r="X734" s="12"/>
      <c r="Y734" s="12"/>
      <c r="Z734" s="12"/>
      <c r="AA734" s="12"/>
      <c r="AB734" s="12"/>
      <c r="AC734" s="12"/>
      <c r="AD734" s="12"/>
      <c r="AE734" s="12"/>
      <c r="AF734" s="13">
        <f>H734+I734+J734+K734+M734-N734</f>
        <v>51514</v>
      </c>
      <c r="AG734" s="13">
        <f>SUM(O734:AE734)</f>
        <v>12991</v>
      </c>
      <c r="AH734" s="13">
        <f>AF734-AG734</f>
        <v>38523</v>
      </c>
      <c r="AI734" s="12"/>
      <c r="AJ734" s="12"/>
      <c r="AK734" s="12"/>
    </row>
    <row r="735" spans="1:37">
      <c r="A735" s="10">
        <v>18</v>
      </c>
      <c r="B735" s="11">
        <v>1607</v>
      </c>
      <c r="C735" s="10" t="s">
        <v>764</v>
      </c>
      <c r="D735" s="11" t="s">
        <v>23</v>
      </c>
      <c r="E735" s="11"/>
      <c r="F735" s="10" t="s">
        <v>718</v>
      </c>
      <c r="G735" s="11" t="s">
        <v>62</v>
      </c>
      <c r="H735" s="9"/>
      <c r="I735" s="12"/>
      <c r="J735" s="12">
        <v>150</v>
      </c>
      <c r="K735" s="12">
        <v>2400</v>
      </c>
      <c r="L735" s="12">
        <v>12241</v>
      </c>
      <c r="M735" s="11">
        <f>L735*4+AI735-AJ735</f>
        <v>48964</v>
      </c>
      <c r="N735" s="13"/>
      <c r="O735" s="12"/>
      <c r="P735" s="12"/>
      <c r="Q735" s="12"/>
      <c r="R735" s="12"/>
      <c r="S735" s="12"/>
      <c r="T735" s="12"/>
      <c r="U735" s="12"/>
      <c r="V735" s="12">
        <v>12991</v>
      </c>
      <c r="W735" s="12"/>
      <c r="X735" s="12"/>
      <c r="Y735" s="12"/>
      <c r="Z735" s="12"/>
      <c r="AA735" s="12"/>
      <c r="AB735" s="12"/>
      <c r="AC735" s="12"/>
      <c r="AD735" s="12"/>
      <c r="AE735" s="12"/>
      <c r="AF735" s="13">
        <f>H735+I735+J735+K735+M735-N735</f>
        <v>51514</v>
      </c>
      <c r="AG735" s="13">
        <f>SUM(O735:AE735)</f>
        <v>12991</v>
      </c>
      <c r="AH735" s="13">
        <f>AF735-AG735</f>
        <v>38523</v>
      </c>
      <c r="AI735" s="12"/>
      <c r="AJ735" s="12"/>
      <c r="AK735" s="12"/>
    </row>
    <row r="736" spans="1:37">
      <c r="A736" s="10">
        <v>19</v>
      </c>
      <c r="B736" s="22">
        <v>2244</v>
      </c>
      <c r="C736" s="21" t="s">
        <v>765</v>
      </c>
      <c r="D736" s="22" t="s">
        <v>23</v>
      </c>
      <c r="E736" s="22" t="s">
        <v>24</v>
      </c>
      <c r="F736" s="21" t="s">
        <v>718</v>
      </c>
      <c r="G736" s="22" t="s">
        <v>62</v>
      </c>
      <c r="H736" s="9">
        <v>5000</v>
      </c>
      <c r="I736" s="12">
        <v>1200</v>
      </c>
      <c r="J736" s="12">
        <v>150</v>
      </c>
      <c r="K736" s="12">
        <v>2400</v>
      </c>
      <c r="L736" s="12">
        <v>12241</v>
      </c>
      <c r="M736" s="11">
        <f>L736*4+AI736-AJ736</f>
        <v>48964</v>
      </c>
      <c r="N736" s="13"/>
      <c r="O736" s="12">
        <v>5000</v>
      </c>
      <c r="P736" s="12">
        <v>1200</v>
      </c>
      <c r="Q736" s="12"/>
      <c r="R736" s="12"/>
      <c r="S736" s="11">
        <f>12241+150+600</f>
        <v>12991</v>
      </c>
      <c r="T736" s="12"/>
      <c r="U736" s="12"/>
      <c r="V736" s="12">
        <v>12841</v>
      </c>
      <c r="W736" s="12"/>
      <c r="X736" s="12"/>
      <c r="Y736" s="12"/>
      <c r="Z736" s="12"/>
      <c r="AA736" s="12"/>
      <c r="AB736" s="12"/>
      <c r="AC736" s="12"/>
      <c r="AD736" s="12"/>
      <c r="AE736" s="12"/>
      <c r="AF736" s="13">
        <f>H736+I736+J736+K736+M736-N736</f>
        <v>57714</v>
      </c>
      <c r="AG736" s="13">
        <f>SUM(O736:AE736)</f>
        <v>32032</v>
      </c>
      <c r="AH736" s="13">
        <f>AF736-AG736</f>
        <v>25682</v>
      </c>
      <c r="AI736" s="12"/>
      <c r="AJ736" s="12"/>
      <c r="AK736" s="12"/>
    </row>
    <row r="737" spans="1:37">
      <c r="A737" s="10">
        <v>20</v>
      </c>
      <c r="B737" s="27">
        <v>2237</v>
      </c>
      <c r="C737" s="26" t="s">
        <v>766</v>
      </c>
      <c r="D737" s="27" t="s">
        <v>23</v>
      </c>
      <c r="E737" s="27" t="s">
        <v>24</v>
      </c>
      <c r="F737" s="26" t="s">
        <v>718</v>
      </c>
      <c r="G737" s="27" t="s">
        <v>62</v>
      </c>
      <c r="H737" s="9">
        <v>5000</v>
      </c>
      <c r="I737" s="12">
        <v>1200</v>
      </c>
      <c r="J737" s="12">
        <v>150</v>
      </c>
      <c r="K737" s="12">
        <v>2400</v>
      </c>
      <c r="L737" s="12">
        <v>6121</v>
      </c>
      <c r="M737" s="11">
        <f>L737*4+AI737-AJ737</f>
        <v>24484</v>
      </c>
      <c r="N737" s="13"/>
      <c r="O737" s="12">
        <v>5000</v>
      </c>
      <c r="P737" s="12">
        <v>1200</v>
      </c>
      <c r="Q737" s="12"/>
      <c r="R737" s="12"/>
      <c r="S737" s="11">
        <f>6121+600</f>
        <v>6721</v>
      </c>
      <c r="T737" s="11">
        <f>150+6350</f>
        <v>6500</v>
      </c>
      <c r="U737" s="12"/>
      <c r="V737" s="12">
        <v>371</v>
      </c>
      <c r="W737" s="12"/>
      <c r="X737" s="12"/>
      <c r="Y737" s="12"/>
      <c r="Z737" s="12"/>
      <c r="AA737" s="12"/>
      <c r="AB737" s="12"/>
      <c r="AC737" s="12"/>
      <c r="AD737" s="12"/>
      <c r="AE737" s="12"/>
      <c r="AF737" s="13">
        <f>H737+I737+J737+K737+M737-N737</f>
        <v>33234</v>
      </c>
      <c r="AG737" s="13">
        <f>SUM(O737:AE737)</f>
        <v>19792</v>
      </c>
      <c r="AH737" s="13">
        <f>AF737-AG737</f>
        <v>13442</v>
      </c>
      <c r="AI737" s="12"/>
      <c r="AJ737" s="12"/>
      <c r="AK737" s="12"/>
    </row>
    <row r="738" spans="1:37">
      <c r="A738" s="10">
        <v>21</v>
      </c>
      <c r="B738" s="11">
        <v>907</v>
      </c>
      <c r="C738" s="10" t="s">
        <v>767</v>
      </c>
      <c r="D738" s="11" t="s">
        <v>28</v>
      </c>
      <c r="E738" s="11"/>
      <c r="F738" s="10" t="s">
        <v>718</v>
      </c>
      <c r="G738" s="11" t="s">
        <v>62</v>
      </c>
      <c r="H738" s="9"/>
      <c r="I738" s="12"/>
      <c r="J738" s="12">
        <v>150</v>
      </c>
      <c r="K738" s="12">
        <v>2400</v>
      </c>
      <c r="L738" s="12">
        <v>12241</v>
      </c>
      <c r="M738" s="11">
        <f>L738*4+AI738-AJ738</f>
        <v>48964</v>
      </c>
      <c r="N738" s="13">
        <v>2448</v>
      </c>
      <c r="O738" s="12"/>
      <c r="P738" s="12"/>
      <c r="Q738" s="12"/>
      <c r="R738" s="12"/>
      <c r="S738" s="12">
        <v>49066</v>
      </c>
      <c r="T738" s="12"/>
      <c r="U738" s="12"/>
      <c r="V738" s="12"/>
      <c r="W738" s="12"/>
      <c r="X738" s="12"/>
      <c r="Y738" s="12"/>
      <c r="Z738" s="12"/>
      <c r="AA738" s="12"/>
      <c r="AB738" s="12"/>
      <c r="AC738" s="12"/>
      <c r="AD738" s="12"/>
      <c r="AE738" s="12"/>
      <c r="AF738" s="13">
        <f>H738+I738+J738+K738+M738-N738</f>
        <v>49066</v>
      </c>
      <c r="AG738" s="13">
        <f>SUM(O738:AE738)</f>
        <v>49066</v>
      </c>
      <c r="AH738" s="13">
        <f>AF738-AG738</f>
        <v>0</v>
      </c>
      <c r="AI738" s="12"/>
      <c r="AJ738" s="12"/>
      <c r="AK738" s="12"/>
    </row>
    <row r="739" spans="1:37">
      <c r="A739" s="10">
        <v>22</v>
      </c>
      <c r="B739" s="11">
        <v>1348</v>
      </c>
      <c r="C739" s="10" t="s">
        <v>702</v>
      </c>
      <c r="D739" s="11" t="s">
        <v>23</v>
      </c>
      <c r="E739" s="11"/>
      <c r="F739" s="10" t="s">
        <v>718</v>
      </c>
      <c r="G739" s="11" t="s">
        <v>62</v>
      </c>
      <c r="H739" s="9"/>
      <c r="I739" s="12"/>
      <c r="J739" s="12">
        <v>150</v>
      </c>
      <c r="K739" s="12">
        <v>2400</v>
      </c>
      <c r="L739" s="12">
        <v>12241</v>
      </c>
      <c r="M739" s="11">
        <f>L739*4+AI739-AJ739</f>
        <v>48964</v>
      </c>
      <c r="N739" s="13"/>
      <c r="O739" s="12"/>
      <c r="P739" s="12"/>
      <c r="Q739" s="12"/>
      <c r="R739" s="12"/>
      <c r="S739" s="12">
        <v>12991</v>
      </c>
      <c r="T739" s="12"/>
      <c r="U739" s="12"/>
      <c r="V739" s="12"/>
      <c r="W739" s="12"/>
      <c r="X739" s="12"/>
      <c r="Y739" s="12"/>
      <c r="Z739" s="12"/>
      <c r="AA739" s="12"/>
      <c r="AB739" s="12"/>
      <c r="AC739" s="12"/>
      <c r="AD739" s="12"/>
      <c r="AE739" s="12"/>
      <c r="AF739" s="13">
        <f>H739+I739+J739+K739+M739-N739</f>
        <v>51514</v>
      </c>
      <c r="AG739" s="13">
        <f>SUM(O739:AE739)</f>
        <v>12991</v>
      </c>
      <c r="AH739" s="13">
        <f>AF739-AG739</f>
        <v>38523</v>
      </c>
      <c r="AI739" s="12"/>
      <c r="AJ739" s="12"/>
      <c r="AK739" s="12"/>
    </row>
    <row r="740" spans="1:37">
      <c r="A740" s="10">
        <v>23</v>
      </c>
      <c r="B740" s="16">
        <v>2067</v>
      </c>
      <c r="C740" s="16" t="s">
        <v>768</v>
      </c>
      <c r="D740" s="16" t="s">
        <v>23</v>
      </c>
      <c r="E740" s="16"/>
      <c r="F740" s="10" t="s">
        <v>718</v>
      </c>
      <c r="G740" s="12" t="s">
        <v>62</v>
      </c>
      <c r="H740" s="9"/>
      <c r="I740" s="12"/>
      <c r="J740" s="12">
        <v>150</v>
      </c>
      <c r="K740" s="12">
        <v>2400</v>
      </c>
      <c r="L740" s="12">
        <v>12241</v>
      </c>
      <c r="M740" s="11">
        <f>L740*4+AI740-AJ740</f>
        <v>48964</v>
      </c>
      <c r="N740" s="13">
        <v>2448</v>
      </c>
      <c r="O740" s="9"/>
      <c r="P740" s="12"/>
      <c r="Q740" s="12"/>
      <c r="R740" s="12"/>
      <c r="S740" s="12">
        <v>49066</v>
      </c>
      <c r="T740" s="12"/>
      <c r="U740" s="12"/>
      <c r="V740" s="12"/>
      <c r="W740" s="12"/>
      <c r="X740" s="12"/>
      <c r="Y740" s="12"/>
      <c r="Z740" s="12"/>
      <c r="AA740" s="12"/>
      <c r="AB740" s="12"/>
      <c r="AC740" s="12"/>
      <c r="AD740" s="12"/>
      <c r="AE740" s="12"/>
      <c r="AF740" s="13">
        <f>H740+I740+J740+K740+M740-N740</f>
        <v>49066</v>
      </c>
      <c r="AG740" s="13">
        <f>SUM(O740:AE740)</f>
        <v>49066</v>
      </c>
      <c r="AH740" s="13">
        <f>AF740-AG740</f>
        <v>0</v>
      </c>
      <c r="AI740" s="12"/>
      <c r="AJ740" s="12"/>
      <c r="AK740" s="12"/>
    </row>
    <row r="741" spans="1:37">
      <c r="A741" s="10">
        <v>24</v>
      </c>
      <c r="B741" s="11">
        <v>934</v>
      </c>
      <c r="C741" s="10" t="s">
        <v>769</v>
      </c>
      <c r="D741" s="11" t="s">
        <v>28</v>
      </c>
      <c r="E741" s="11"/>
      <c r="F741" s="10" t="s">
        <v>718</v>
      </c>
      <c r="G741" s="11" t="s">
        <v>62</v>
      </c>
      <c r="H741" s="9"/>
      <c r="I741" s="12"/>
      <c r="J741" s="12">
        <v>150</v>
      </c>
      <c r="K741" s="12">
        <v>2400</v>
      </c>
      <c r="L741" s="12">
        <v>12241</v>
      </c>
      <c r="M741" s="11">
        <f>L741*4+AI741-AJ741</f>
        <v>54014</v>
      </c>
      <c r="N741" s="13"/>
      <c r="O741" s="12"/>
      <c r="P741" s="12"/>
      <c r="Q741" s="12"/>
      <c r="R741" s="12"/>
      <c r="S741" s="12"/>
      <c r="T741" s="12">
        <v>12991</v>
      </c>
      <c r="U741" s="12"/>
      <c r="V741" s="12"/>
      <c r="W741" s="12"/>
      <c r="X741" s="12"/>
      <c r="Y741" s="12"/>
      <c r="Z741" s="12"/>
      <c r="AA741" s="12"/>
      <c r="AB741" s="12"/>
      <c r="AC741" s="12"/>
      <c r="AD741" s="12"/>
      <c r="AE741" s="12"/>
      <c r="AF741" s="13">
        <f>H741+I741+J741+K741+M741-N741</f>
        <v>56564</v>
      </c>
      <c r="AG741" s="13">
        <f>SUM(O741:AE741)</f>
        <v>12991</v>
      </c>
      <c r="AH741" s="13">
        <f>AF741-AG741</f>
        <v>43573</v>
      </c>
      <c r="AI741" s="12">
        <v>5050</v>
      </c>
      <c r="AJ741" s="12"/>
      <c r="AK741" s="12"/>
    </row>
    <row r="742" spans="1:37">
      <c r="A742" s="10">
        <v>25</v>
      </c>
      <c r="B742" s="11">
        <v>916</v>
      </c>
      <c r="C742" s="10" t="s">
        <v>770</v>
      </c>
      <c r="D742" s="11" t="s">
        <v>23</v>
      </c>
      <c r="E742" s="11"/>
      <c r="F742" s="10" t="s">
        <v>718</v>
      </c>
      <c r="G742" s="11" t="s">
        <v>62</v>
      </c>
      <c r="H742" s="9"/>
      <c r="I742" s="12"/>
      <c r="J742" s="12">
        <v>150</v>
      </c>
      <c r="K742" s="12">
        <v>2400</v>
      </c>
      <c r="L742" s="12">
        <v>12241</v>
      </c>
      <c r="M742" s="11">
        <f>L742*4+AI742-AJ742</f>
        <v>48964</v>
      </c>
      <c r="N742" s="13"/>
      <c r="O742" s="12"/>
      <c r="P742" s="12"/>
      <c r="Q742" s="12"/>
      <c r="R742" s="12"/>
      <c r="S742" s="12"/>
      <c r="T742" s="12">
        <v>12991</v>
      </c>
      <c r="U742" s="12"/>
      <c r="V742" s="12"/>
      <c r="W742" s="12"/>
      <c r="X742" s="12"/>
      <c r="Y742" s="12"/>
      <c r="Z742" s="12"/>
      <c r="AA742" s="12"/>
      <c r="AB742" s="12"/>
      <c r="AC742" s="12"/>
      <c r="AD742" s="12"/>
      <c r="AE742" s="12"/>
      <c r="AF742" s="13">
        <f>H742+I742+J742+K742+M742-N742</f>
        <v>51514</v>
      </c>
      <c r="AG742" s="13">
        <f>SUM(O742:AE742)</f>
        <v>12991</v>
      </c>
      <c r="AH742" s="13">
        <f>AF742-AG742</f>
        <v>38523</v>
      </c>
      <c r="AI742" s="12"/>
      <c r="AJ742" s="12"/>
      <c r="AK742" s="12"/>
    </row>
    <row r="743" spans="1:37">
      <c r="A743" s="10">
        <v>26</v>
      </c>
      <c r="B743" s="11">
        <v>1741</v>
      </c>
      <c r="C743" s="10" t="s">
        <v>771</v>
      </c>
      <c r="D743" s="11" t="s">
        <v>23</v>
      </c>
      <c r="E743" s="11"/>
      <c r="F743" s="10" t="s">
        <v>718</v>
      </c>
      <c r="G743" s="11" t="s">
        <v>62</v>
      </c>
      <c r="H743" s="9"/>
      <c r="I743" s="12"/>
      <c r="J743" s="12">
        <v>150</v>
      </c>
      <c r="K743" s="12">
        <v>2400</v>
      </c>
      <c r="L743" s="12">
        <v>12241</v>
      </c>
      <c r="M743" s="11">
        <f>L743*4+AI743-AJ743</f>
        <v>48964</v>
      </c>
      <c r="N743" s="13"/>
      <c r="O743" s="12"/>
      <c r="P743" s="12"/>
      <c r="Q743" s="12"/>
      <c r="R743" s="12"/>
      <c r="S743" s="12">
        <v>12991</v>
      </c>
      <c r="T743" s="12"/>
      <c r="U743" s="12"/>
      <c r="V743" s="12">
        <v>12841</v>
      </c>
      <c r="W743" s="12"/>
      <c r="X743" s="12"/>
      <c r="Y743" s="12"/>
      <c r="Z743" s="12"/>
      <c r="AA743" s="12"/>
      <c r="AB743" s="12"/>
      <c r="AC743" s="12"/>
      <c r="AD743" s="12"/>
      <c r="AE743" s="12"/>
      <c r="AF743" s="13">
        <f>H743+I743+J743+K743+M743-N743</f>
        <v>51514</v>
      </c>
      <c r="AG743" s="13">
        <f>SUM(O743:AE743)</f>
        <v>25832</v>
      </c>
      <c r="AH743" s="13">
        <f>AF743-AG743</f>
        <v>25682</v>
      </c>
      <c r="AI743" s="12"/>
      <c r="AJ743" s="12"/>
      <c r="AK743" s="12"/>
    </row>
    <row r="744" spans="1:37">
      <c r="A744" s="10">
        <v>27</v>
      </c>
      <c r="B744" s="11">
        <v>1893</v>
      </c>
      <c r="C744" s="10" t="s">
        <v>772</v>
      </c>
      <c r="D744" s="11" t="s">
        <v>28</v>
      </c>
      <c r="E744" s="11"/>
      <c r="F744" s="10" t="s">
        <v>718</v>
      </c>
      <c r="G744" s="11" t="s">
        <v>62</v>
      </c>
      <c r="H744" s="9"/>
      <c r="I744" s="12"/>
      <c r="J744" s="12">
        <v>150</v>
      </c>
      <c r="K744" s="12">
        <v>2400</v>
      </c>
      <c r="L744" s="12">
        <v>12241</v>
      </c>
      <c r="M744" s="11">
        <f>L744*4+AI744-AJ744</f>
        <v>48964</v>
      </c>
      <c r="N744" s="13">
        <v>2448</v>
      </c>
      <c r="O744" s="12"/>
      <c r="P744" s="12"/>
      <c r="Q744" s="12"/>
      <c r="R744" s="12"/>
      <c r="S744" s="12">
        <v>49066</v>
      </c>
      <c r="T744" s="12"/>
      <c r="U744" s="12"/>
      <c r="V744" s="12"/>
      <c r="W744" s="12"/>
      <c r="X744" s="12"/>
      <c r="Y744" s="12"/>
      <c r="Z744" s="12"/>
      <c r="AA744" s="12"/>
      <c r="AB744" s="12"/>
      <c r="AC744" s="12"/>
      <c r="AD744" s="12"/>
      <c r="AE744" s="12"/>
      <c r="AF744" s="13">
        <f>H744+I744+J744+K744+M744-N744</f>
        <v>49066</v>
      </c>
      <c r="AG744" s="13">
        <f>SUM(O744:AE744)</f>
        <v>49066</v>
      </c>
      <c r="AH744" s="13">
        <f>AF744-AG744</f>
        <v>0</v>
      </c>
      <c r="AI744" s="12"/>
      <c r="AJ744" s="12"/>
      <c r="AK744" s="12"/>
    </row>
    <row r="745" spans="1:37">
      <c r="A745" s="10">
        <v>28</v>
      </c>
      <c r="B745" s="11">
        <v>1077</v>
      </c>
      <c r="C745" s="10" t="s">
        <v>773</v>
      </c>
      <c r="D745" s="11" t="s">
        <v>28</v>
      </c>
      <c r="E745" s="11"/>
      <c r="F745" s="10" t="s">
        <v>718</v>
      </c>
      <c r="G745" s="11" t="s">
        <v>62</v>
      </c>
      <c r="H745" s="9"/>
      <c r="I745" s="12"/>
      <c r="J745" s="12">
        <v>150</v>
      </c>
      <c r="K745" s="12">
        <v>2400</v>
      </c>
      <c r="L745" s="12">
        <v>12241</v>
      </c>
      <c r="M745" s="11">
        <f>L745*4+AI745-AJ745</f>
        <v>48964</v>
      </c>
      <c r="N745" s="13"/>
      <c r="O745" s="12"/>
      <c r="P745" s="12"/>
      <c r="Q745" s="12"/>
      <c r="R745" s="12"/>
      <c r="S745" s="12"/>
      <c r="T745" s="12"/>
      <c r="U745" s="12">
        <v>12991</v>
      </c>
      <c r="V745" s="12"/>
      <c r="W745" s="12"/>
      <c r="X745" s="12"/>
      <c r="Y745" s="12"/>
      <c r="Z745" s="12"/>
      <c r="AA745" s="12"/>
      <c r="AB745" s="12"/>
      <c r="AC745" s="12"/>
      <c r="AD745" s="12"/>
      <c r="AE745" s="12"/>
      <c r="AF745" s="13">
        <f>H745+I745+J745+K745+M745-N745</f>
        <v>51514</v>
      </c>
      <c r="AG745" s="13">
        <f>SUM(O745:AE745)</f>
        <v>12991</v>
      </c>
      <c r="AH745" s="13">
        <f>AF745-AG745</f>
        <v>38523</v>
      </c>
      <c r="AI745" s="12"/>
      <c r="AJ745" s="12"/>
      <c r="AK745" s="12"/>
    </row>
    <row r="746" spans="1:37">
      <c r="A746" s="10">
        <v>29</v>
      </c>
      <c r="B746" s="11">
        <v>955</v>
      </c>
      <c r="C746" s="10" t="s">
        <v>774</v>
      </c>
      <c r="D746" s="11" t="s">
        <v>23</v>
      </c>
      <c r="E746" s="11"/>
      <c r="F746" s="10" t="s">
        <v>718</v>
      </c>
      <c r="G746" s="11" t="s">
        <v>62</v>
      </c>
      <c r="H746" s="9"/>
      <c r="I746" s="12"/>
      <c r="J746" s="12">
        <v>150</v>
      </c>
      <c r="K746" s="12">
        <v>2400</v>
      </c>
      <c r="L746" s="12">
        <v>12241</v>
      </c>
      <c r="M746" s="11">
        <f>L746*4+AI746-AJ746</f>
        <v>48964</v>
      </c>
      <c r="N746" s="13"/>
      <c r="O746" s="12"/>
      <c r="P746" s="12"/>
      <c r="Q746" s="12"/>
      <c r="R746" s="12"/>
      <c r="S746" s="12"/>
      <c r="T746" s="12"/>
      <c r="U746" s="12">
        <v>12991</v>
      </c>
      <c r="V746" s="12"/>
      <c r="W746" s="12"/>
      <c r="X746" s="12"/>
      <c r="Y746" s="12"/>
      <c r="Z746" s="12"/>
      <c r="AA746" s="12"/>
      <c r="AB746" s="12"/>
      <c r="AC746" s="12"/>
      <c r="AD746" s="12"/>
      <c r="AE746" s="12"/>
      <c r="AF746" s="13">
        <f>H746+I746+J746+K746+M746-N746</f>
        <v>51514</v>
      </c>
      <c r="AG746" s="13">
        <f>SUM(O746:AE746)</f>
        <v>12991</v>
      </c>
      <c r="AH746" s="13">
        <f>AF746-AG746</f>
        <v>38523</v>
      </c>
      <c r="AI746" s="12"/>
      <c r="AJ746" s="12"/>
      <c r="AK746" s="12"/>
    </row>
    <row r="747" spans="1:37">
      <c r="A747" s="10">
        <v>30</v>
      </c>
      <c r="B747" s="10">
        <v>1750</v>
      </c>
      <c r="C747" s="10" t="s">
        <v>468</v>
      </c>
      <c r="D747" s="11" t="s">
        <v>23</v>
      </c>
      <c r="E747" s="11"/>
      <c r="F747" s="11" t="s">
        <v>775</v>
      </c>
      <c r="G747" s="11" t="s">
        <v>26</v>
      </c>
      <c r="H747" s="12"/>
      <c r="I747" s="12"/>
      <c r="J747" s="12">
        <v>150</v>
      </c>
      <c r="K747" s="12">
        <v>2400</v>
      </c>
      <c r="L747" s="12">
        <v>13851</v>
      </c>
      <c r="M747" s="11">
        <f>L747*4+AI747-AJ747</f>
        <v>55404</v>
      </c>
      <c r="N747" s="13"/>
      <c r="O747" s="12"/>
      <c r="P747" s="12"/>
      <c r="Q747" s="12"/>
      <c r="R747" s="12"/>
      <c r="S747" s="11">
        <f>13851+750</f>
        <v>14601</v>
      </c>
      <c r="T747" s="12"/>
      <c r="U747" s="12"/>
      <c r="V747" s="12"/>
      <c r="W747" s="12"/>
      <c r="X747" s="12"/>
      <c r="Y747" s="12"/>
      <c r="Z747" s="12"/>
      <c r="AA747" s="12"/>
      <c r="AB747" s="12"/>
      <c r="AC747" s="12"/>
      <c r="AD747" s="12"/>
      <c r="AE747" s="12"/>
      <c r="AF747" s="13">
        <f>H747+I747+J747+K747+M747-N747</f>
        <v>57954</v>
      </c>
      <c r="AG747" s="13">
        <f>SUM(O747:AE747)</f>
        <v>14601</v>
      </c>
      <c r="AH747" s="13">
        <f>AF747-AG747</f>
        <v>43353</v>
      </c>
      <c r="AI747" s="12"/>
      <c r="AJ747" s="12"/>
      <c r="AK747" s="12"/>
    </row>
    <row r="748" spans="1:37">
      <c r="A748" s="10">
        <v>31</v>
      </c>
      <c r="B748" s="10">
        <v>1749</v>
      </c>
      <c r="C748" s="10" t="s">
        <v>776</v>
      </c>
      <c r="D748" s="11" t="s">
        <v>28</v>
      </c>
      <c r="E748" s="11"/>
      <c r="F748" s="11" t="s">
        <v>775</v>
      </c>
      <c r="G748" s="11" t="s">
        <v>26</v>
      </c>
      <c r="H748" s="12"/>
      <c r="I748" s="12"/>
      <c r="J748" s="12">
        <v>150</v>
      </c>
      <c r="K748" s="12">
        <v>2400</v>
      </c>
      <c r="L748" s="12">
        <v>13851</v>
      </c>
      <c r="M748" s="11">
        <f>L748*4+AI748-AJ748</f>
        <v>55404</v>
      </c>
      <c r="N748" s="13"/>
      <c r="O748" s="12"/>
      <c r="P748" s="12"/>
      <c r="Q748" s="12"/>
      <c r="R748" s="12"/>
      <c r="S748" s="12">
        <v>14601</v>
      </c>
      <c r="T748" s="12"/>
      <c r="U748" s="12"/>
      <c r="V748" s="12">
        <v>14451</v>
      </c>
      <c r="W748" s="12"/>
      <c r="X748" s="12"/>
      <c r="Y748" s="12"/>
      <c r="Z748" s="12"/>
      <c r="AA748" s="12"/>
      <c r="AB748" s="12"/>
      <c r="AC748" s="12"/>
      <c r="AD748" s="12"/>
      <c r="AE748" s="12"/>
      <c r="AF748" s="13">
        <f>H748+I748+J748+K748+M748-N748</f>
        <v>57954</v>
      </c>
      <c r="AG748" s="13">
        <f>SUM(O748:AE748)</f>
        <v>29052</v>
      </c>
      <c r="AH748" s="13">
        <f>AF748-AG748</f>
        <v>28902</v>
      </c>
      <c r="AI748" s="12"/>
      <c r="AJ748" s="12"/>
      <c r="AK748" s="12"/>
    </row>
    <row r="749" spans="1:37">
      <c r="A749" s="10">
        <v>32</v>
      </c>
      <c r="B749" s="11">
        <v>1040</v>
      </c>
      <c r="C749" s="10" t="s">
        <v>777</v>
      </c>
      <c r="D749" s="11" t="s">
        <v>23</v>
      </c>
      <c r="E749" s="11"/>
      <c r="F749" s="11" t="s">
        <v>775</v>
      </c>
      <c r="G749" s="11" t="s">
        <v>26</v>
      </c>
      <c r="H749" s="9"/>
      <c r="I749" s="12"/>
      <c r="J749" s="12">
        <v>150</v>
      </c>
      <c r="K749" s="12">
        <v>2400</v>
      </c>
      <c r="L749" s="12">
        <v>13851</v>
      </c>
      <c r="M749" s="11">
        <f>L749*4+AI749-AJ749</f>
        <v>55404</v>
      </c>
      <c r="N749" s="13"/>
      <c r="O749" s="12"/>
      <c r="P749" s="12"/>
      <c r="Q749" s="12"/>
      <c r="R749" s="12"/>
      <c r="S749" s="12"/>
      <c r="T749" s="12"/>
      <c r="U749" s="12">
        <v>14601</v>
      </c>
      <c r="V749" s="12"/>
      <c r="W749" s="12"/>
      <c r="X749" s="12"/>
      <c r="Y749" s="12"/>
      <c r="Z749" s="12"/>
      <c r="AA749" s="12"/>
      <c r="AB749" s="12"/>
      <c r="AC749" s="12"/>
      <c r="AD749" s="12"/>
      <c r="AE749" s="12"/>
      <c r="AF749" s="13">
        <f>H749+I749+J749+K749+M749-N749</f>
        <v>57954</v>
      </c>
      <c r="AG749" s="13">
        <f>SUM(O749:AE749)</f>
        <v>14601</v>
      </c>
      <c r="AH749" s="13">
        <f>AF749-AG749</f>
        <v>43353</v>
      </c>
      <c r="AI749" s="12"/>
      <c r="AJ749" s="12"/>
      <c r="AK749" s="12"/>
    </row>
    <row r="750" spans="1:37">
      <c r="A750" s="10">
        <v>33</v>
      </c>
      <c r="B750" s="27">
        <v>818</v>
      </c>
      <c r="C750" s="26" t="s">
        <v>778</v>
      </c>
      <c r="D750" s="27" t="s">
        <v>28</v>
      </c>
      <c r="E750" s="27"/>
      <c r="F750" s="27" t="s">
        <v>775</v>
      </c>
      <c r="G750" s="27" t="s">
        <v>26</v>
      </c>
      <c r="H750" s="9"/>
      <c r="I750" s="12"/>
      <c r="J750" s="12">
        <v>150</v>
      </c>
      <c r="K750" s="12">
        <v>2400</v>
      </c>
      <c r="L750" s="12">
        <v>6926</v>
      </c>
      <c r="M750" s="11">
        <f>L750*4+AI750-AJ750</f>
        <v>27704</v>
      </c>
      <c r="N750" s="13"/>
      <c r="O750" s="12"/>
      <c r="P750" s="12"/>
      <c r="Q750" s="12"/>
      <c r="R750" s="12"/>
      <c r="S750" s="12"/>
      <c r="T750" s="12">
        <v>7676</v>
      </c>
      <c r="U750" s="12"/>
      <c r="V750" s="12"/>
      <c r="W750" s="12"/>
      <c r="X750" s="12"/>
      <c r="Y750" s="12"/>
      <c r="Z750" s="12"/>
      <c r="AA750" s="12"/>
      <c r="AB750" s="12"/>
      <c r="AC750" s="12"/>
      <c r="AD750" s="12"/>
      <c r="AE750" s="12"/>
      <c r="AF750" s="13">
        <f>H750+I750+J750+K750+M750-N750</f>
        <v>30254</v>
      </c>
      <c r="AG750" s="13">
        <f>SUM(O750:AE750)</f>
        <v>7676</v>
      </c>
      <c r="AH750" s="13">
        <f>AF750-AG750</f>
        <v>22578</v>
      </c>
      <c r="AI750" s="12"/>
      <c r="AJ750" s="12"/>
      <c r="AK750" s="12"/>
    </row>
    <row r="751" spans="1:37">
      <c r="A751" s="10">
        <v>34</v>
      </c>
      <c r="B751" s="11">
        <v>822</v>
      </c>
      <c r="C751" s="10" t="s">
        <v>779</v>
      </c>
      <c r="D751" s="11" t="s">
        <v>23</v>
      </c>
      <c r="E751" s="11"/>
      <c r="F751" s="11" t="s">
        <v>775</v>
      </c>
      <c r="G751" s="11" t="s">
        <v>26</v>
      </c>
      <c r="H751" s="9"/>
      <c r="I751" s="12"/>
      <c r="J751" s="12">
        <v>150</v>
      </c>
      <c r="K751" s="12">
        <v>2400</v>
      </c>
      <c r="L751" s="12">
        <v>13851</v>
      </c>
      <c r="M751" s="11">
        <f>L751*4+AI751-AJ751</f>
        <v>55404</v>
      </c>
      <c r="N751" s="13"/>
      <c r="O751" s="12"/>
      <c r="P751" s="12"/>
      <c r="Q751" s="12"/>
      <c r="R751" s="12"/>
      <c r="S751" s="12"/>
      <c r="T751" s="12">
        <v>14601</v>
      </c>
      <c r="U751" s="12"/>
      <c r="V751" s="12"/>
      <c r="W751" s="12"/>
      <c r="X751" s="12"/>
      <c r="Y751" s="12"/>
      <c r="Z751" s="12"/>
      <c r="AA751" s="12"/>
      <c r="AB751" s="12"/>
      <c r="AC751" s="12"/>
      <c r="AD751" s="12"/>
      <c r="AE751" s="12"/>
      <c r="AF751" s="13">
        <f>H751+I751+J751+K751+M751-N751</f>
        <v>57954</v>
      </c>
      <c r="AG751" s="13">
        <f>SUM(O751:AE751)</f>
        <v>14601</v>
      </c>
      <c r="AH751" s="13">
        <f>AF751-AG751</f>
        <v>43353</v>
      </c>
      <c r="AI751" s="12"/>
      <c r="AJ751" s="12"/>
      <c r="AK751" s="12"/>
    </row>
    <row r="752" spans="1:37">
      <c r="A752" s="10">
        <v>35</v>
      </c>
      <c r="B752" s="22">
        <v>2265</v>
      </c>
      <c r="C752" s="21" t="s">
        <v>780</v>
      </c>
      <c r="D752" s="22" t="s">
        <v>28</v>
      </c>
      <c r="E752" s="22" t="s">
        <v>24</v>
      </c>
      <c r="F752" s="22" t="s">
        <v>775</v>
      </c>
      <c r="G752" s="22" t="s">
        <v>26</v>
      </c>
      <c r="H752" s="9">
        <v>6000</v>
      </c>
      <c r="I752" s="12">
        <v>1200</v>
      </c>
      <c r="J752" s="12">
        <v>150</v>
      </c>
      <c r="K752" s="12">
        <v>2400</v>
      </c>
      <c r="L752" s="12">
        <v>13851</v>
      </c>
      <c r="M752" s="11">
        <f>L752*4+AI752-AJ752</f>
        <v>55404</v>
      </c>
      <c r="N752" s="13"/>
      <c r="O752" s="12">
        <v>6000</v>
      </c>
      <c r="P752" s="12">
        <v>1200</v>
      </c>
      <c r="Q752" s="12"/>
      <c r="R752" s="12"/>
      <c r="S752" s="12"/>
      <c r="T752" s="12">
        <v>14800</v>
      </c>
      <c r="U752" s="12"/>
      <c r="V752" s="12"/>
      <c r="W752" s="12"/>
      <c r="X752" s="12"/>
      <c r="Y752" s="12"/>
      <c r="Z752" s="12"/>
      <c r="AA752" s="12"/>
      <c r="AB752" s="12"/>
      <c r="AC752" s="12"/>
      <c r="AD752" s="12"/>
      <c r="AE752" s="12"/>
      <c r="AF752" s="13">
        <f>H752+I752+J752+K752+M752-N752</f>
        <v>65154</v>
      </c>
      <c r="AG752" s="13">
        <f>SUM(O752:AE752)</f>
        <v>22000</v>
      </c>
      <c r="AH752" s="13">
        <f>AF752-AG752</f>
        <v>43154</v>
      </c>
      <c r="AI752" s="12"/>
      <c r="AJ752" s="12"/>
      <c r="AK752" s="12"/>
    </row>
    <row r="753" spans="1:37">
      <c r="A753" s="10">
        <v>36</v>
      </c>
      <c r="B753" s="22">
        <v>2208</v>
      </c>
      <c r="C753" s="21" t="s">
        <v>252</v>
      </c>
      <c r="D753" s="22" t="s">
        <v>23</v>
      </c>
      <c r="E753" s="22" t="s">
        <v>24</v>
      </c>
      <c r="F753" s="22" t="s">
        <v>775</v>
      </c>
      <c r="G753" s="22" t="s">
        <v>26</v>
      </c>
      <c r="H753" s="9">
        <v>6000</v>
      </c>
      <c r="I753" s="12">
        <v>1200</v>
      </c>
      <c r="J753" s="12">
        <v>150</v>
      </c>
      <c r="K753" s="12">
        <v>2400</v>
      </c>
      <c r="L753" s="12">
        <v>13851</v>
      </c>
      <c r="M753" s="11">
        <f>L753*4+AI753-AJ753</f>
        <v>55404</v>
      </c>
      <c r="N753" s="13">
        <v>2770</v>
      </c>
      <c r="O753" s="12">
        <v>6000</v>
      </c>
      <c r="P753" s="12">
        <v>1200</v>
      </c>
      <c r="Q753" s="12"/>
      <c r="R753" s="11">
        <f>52634+150+2400</f>
        <v>55184</v>
      </c>
      <c r="S753" s="12"/>
      <c r="T753" s="12"/>
      <c r="U753" s="12"/>
      <c r="V753" s="12"/>
      <c r="W753" s="12"/>
      <c r="X753" s="12"/>
      <c r="Y753" s="12"/>
      <c r="Z753" s="12"/>
      <c r="AA753" s="12"/>
      <c r="AB753" s="12"/>
      <c r="AC753" s="12"/>
      <c r="AD753" s="12"/>
      <c r="AE753" s="12"/>
      <c r="AF753" s="13">
        <f>H753+I753+J753+K753+M753-N753</f>
        <v>62384</v>
      </c>
      <c r="AG753" s="13">
        <f>SUM(O753:AE753)</f>
        <v>62384</v>
      </c>
      <c r="AH753" s="13">
        <f>AF753-AG753</f>
        <v>0</v>
      </c>
      <c r="AI753" s="12"/>
      <c r="AJ753" s="12"/>
      <c r="AK753" s="12"/>
    </row>
    <row r="754" spans="1:37">
      <c r="A754" s="10">
        <v>37</v>
      </c>
      <c r="B754" s="10">
        <v>1725</v>
      </c>
      <c r="C754" s="11" t="s">
        <v>781</v>
      </c>
      <c r="D754" s="11" t="s">
        <v>28</v>
      </c>
      <c r="E754" s="11"/>
      <c r="F754" s="11" t="s">
        <v>775</v>
      </c>
      <c r="G754" s="11" t="s">
        <v>26</v>
      </c>
      <c r="H754" s="12"/>
      <c r="I754" s="12"/>
      <c r="J754" s="12">
        <v>150</v>
      </c>
      <c r="K754" s="12">
        <v>2400</v>
      </c>
      <c r="L754" s="12">
        <v>13851</v>
      </c>
      <c r="M754" s="11">
        <f>L754*4+AI754-AJ754</f>
        <v>55404</v>
      </c>
      <c r="N754" s="13"/>
      <c r="O754" s="12"/>
      <c r="P754" s="12"/>
      <c r="Q754" s="12"/>
      <c r="R754" s="12"/>
      <c r="S754" s="12"/>
      <c r="T754" s="12"/>
      <c r="U754" s="12">
        <v>14601</v>
      </c>
      <c r="V754" s="12"/>
      <c r="W754" s="12"/>
      <c r="X754" s="12"/>
      <c r="Y754" s="12"/>
      <c r="Z754" s="12"/>
      <c r="AA754" s="12"/>
      <c r="AB754" s="12"/>
      <c r="AC754" s="12"/>
      <c r="AD754" s="12"/>
      <c r="AE754" s="12"/>
      <c r="AF754" s="13">
        <f>H754+I754+J754+K754+M754-N754</f>
        <v>57954</v>
      </c>
      <c r="AG754" s="13">
        <f>SUM(O754:AE754)</f>
        <v>14601</v>
      </c>
      <c r="AH754" s="13">
        <f>AF754-AG754</f>
        <v>43353</v>
      </c>
      <c r="AI754" s="12"/>
      <c r="AJ754" s="12"/>
      <c r="AK754" s="12"/>
    </row>
    <row r="755" spans="1:37">
      <c r="A755" s="10">
        <v>38</v>
      </c>
      <c r="B755" s="10">
        <v>1788</v>
      </c>
      <c r="C755" s="10" t="s">
        <v>782</v>
      </c>
      <c r="D755" s="11" t="s">
        <v>28</v>
      </c>
      <c r="E755" s="11"/>
      <c r="F755" s="11" t="s">
        <v>775</v>
      </c>
      <c r="G755" s="11" t="s">
        <v>26</v>
      </c>
      <c r="H755" s="16"/>
      <c r="I755" s="12"/>
      <c r="J755" s="12">
        <v>150</v>
      </c>
      <c r="K755" s="12">
        <v>2400</v>
      </c>
      <c r="L755" s="12">
        <v>13851</v>
      </c>
      <c r="M755" s="11">
        <f>L755*4+AI755-AJ755</f>
        <v>55404</v>
      </c>
      <c r="N755" s="13"/>
      <c r="O755" s="12"/>
      <c r="P755" s="12"/>
      <c r="Q755" s="12"/>
      <c r="R755" s="12"/>
      <c r="S755" s="12">
        <v>14601</v>
      </c>
      <c r="T755" s="12"/>
      <c r="U755" s="12"/>
      <c r="V755" s="12">
        <v>14451</v>
      </c>
      <c r="W755" s="12"/>
      <c r="X755" s="12"/>
      <c r="Y755" s="12"/>
      <c r="Z755" s="12"/>
      <c r="AA755" s="12"/>
      <c r="AB755" s="12"/>
      <c r="AC755" s="12"/>
      <c r="AD755" s="12"/>
      <c r="AE755" s="12"/>
      <c r="AF755" s="13">
        <f>H755+I755+J755+K755+M755-N755</f>
        <v>57954</v>
      </c>
      <c r="AG755" s="13">
        <f>SUM(O755:AE755)</f>
        <v>29052</v>
      </c>
      <c r="AH755" s="13">
        <f>AF755-AG755</f>
        <v>28902</v>
      </c>
      <c r="AI755" s="12"/>
      <c r="AJ755" s="12"/>
      <c r="AK755" s="12"/>
    </row>
    <row r="756" spans="1:37">
      <c r="A756" s="10">
        <v>39</v>
      </c>
      <c r="B756" s="11">
        <v>1542</v>
      </c>
      <c r="C756" s="10" t="s">
        <v>783</v>
      </c>
      <c r="D756" s="11" t="s">
        <v>23</v>
      </c>
      <c r="E756" s="11"/>
      <c r="F756" s="11" t="s">
        <v>775</v>
      </c>
      <c r="G756" s="11" t="s">
        <v>26</v>
      </c>
      <c r="H756" s="9"/>
      <c r="I756" s="12"/>
      <c r="J756" s="12">
        <v>150</v>
      </c>
      <c r="K756" s="12">
        <v>2400</v>
      </c>
      <c r="L756" s="12">
        <v>13851</v>
      </c>
      <c r="M756" s="11">
        <f>L756*4+AI756-AJ756</f>
        <v>55404</v>
      </c>
      <c r="N756" s="13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  <c r="AA756" s="12"/>
      <c r="AB756" s="12"/>
      <c r="AC756" s="12"/>
      <c r="AD756" s="12"/>
      <c r="AE756" s="12"/>
      <c r="AF756" s="13">
        <f>H756+I756+J756+K756+M756-N756</f>
        <v>57954</v>
      </c>
      <c r="AG756" s="13">
        <f>SUM(O756:AE756)</f>
        <v>0</v>
      </c>
      <c r="AH756" s="13">
        <f>AF756-AG756</f>
        <v>57954</v>
      </c>
      <c r="AI756" s="12"/>
      <c r="AJ756" s="12"/>
      <c r="AK756" s="12"/>
    </row>
    <row r="757" spans="1:37">
      <c r="A757" s="10">
        <v>40</v>
      </c>
      <c r="B757" s="11">
        <v>742</v>
      </c>
      <c r="C757" s="10" t="s">
        <v>784</v>
      </c>
      <c r="D757" s="11" t="s">
        <v>28</v>
      </c>
      <c r="E757" s="11"/>
      <c r="F757" s="11" t="s">
        <v>775</v>
      </c>
      <c r="G757" s="11" t="s">
        <v>26</v>
      </c>
      <c r="H757" s="9"/>
      <c r="I757" s="12"/>
      <c r="J757" s="12">
        <v>150</v>
      </c>
      <c r="K757" s="12">
        <v>2400</v>
      </c>
      <c r="L757" s="12">
        <v>13851</v>
      </c>
      <c r="M757" s="11">
        <f>L757*4+AI757-AJ757</f>
        <v>55404</v>
      </c>
      <c r="N757" s="13"/>
      <c r="O757" s="12"/>
      <c r="P757" s="12"/>
      <c r="Q757" s="12"/>
      <c r="R757" s="12"/>
      <c r="S757" s="12">
        <v>14601</v>
      </c>
      <c r="T757" s="12"/>
      <c r="U757" s="12"/>
      <c r="V757" s="12">
        <v>14451</v>
      </c>
      <c r="W757" s="12"/>
      <c r="X757" s="12"/>
      <c r="Y757" s="12"/>
      <c r="Z757" s="12"/>
      <c r="AA757" s="12"/>
      <c r="AB757" s="12"/>
      <c r="AC757" s="12"/>
      <c r="AD757" s="12"/>
      <c r="AE757" s="12"/>
      <c r="AF757" s="13">
        <f>H757+I757+J757+K757+M757-N757</f>
        <v>57954</v>
      </c>
      <c r="AG757" s="13">
        <f>SUM(O757:AE757)</f>
        <v>29052</v>
      </c>
      <c r="AH757" s="13">
        <f>AF757-AG757</f>
        <v>28902</v>
      </c>
      <c r="AI757" s="12"/>
      <c r="AJ757" s="12"/>
      <c r="AK757" s="12"/>
    </row>
    <row r="758" spans="1:37">
      <c r="A758" s="10">
        <v>41</v>
      </c>
      <c r="B758" s="11">
        <v>751</v>
      </c>
      <c r="C758" s="10" t="s">
        <v>785</v>
      </c>
      <c r="D758" s="11" t="s">
        <v>23</v>
      </c>
      <c r="E758" s="11"/>
      <c r="F758" s="11" t="s">
        <v>775</v>
      </c>
      <c r="G758" s="11" t="s">
        <v>26</v>
      </c>
      <c r="H758" s="9"/>
      <c r="I758" s="12"/>
      <c r="J758" s="12">
        <v>150</v>
      </c>
      <c r="K758" s="12">
        <v>2400</v>
      </c>
      <c r="L758" s="12">
        <v>13851</v>
      </c>
      <c r="M758" s="11">
        <f>L758*4+AI758-AJ758</f>
        <v>55404</v>
      </c>
      <c r="N758" s="13">
        <v>2770</v>
      </c>
      <c r="O758" s="12"/>
      <c r="P758" s="12"/>
      <c r="Q758" s="12"/>
      <c r="R758" s="12"/>
      <c r="S758" s="12">
        <v>55184</v>
      </c>
      <c r="T758" s="12"/>
      <c r="U758" s="12"/>
      <c r="V758" s="12"/>
      <c r="W758" s="12"/>
      <c r="X758" s="12"/>
      <c r="Y758" s="12"/>
      <c r="Z758" s="12"/>
      <c r="AA758" s="12"/>
      <c r="AB758" s="12"/>
      <c r="AC758" s="12"/>
      <c r="AD758" s="12"/>
      <c r="AE758" s="12"/>
      <c r="AF758" s="13">
        <f>H758+I758+J758+K758+M758-N758</f>
        <v>55184</v>
      </c>
      <c r="AG758" s="13">
        <f>SUM(O758:AE758)</f>
        <v>55184</v>
      </c>
      <c r="AH758" s="13">
        <f>AF758-AG758</f>
        <v>0</v>
      </c>
      <c r="AI758" s="12"/>
      <c r="AJ758" s="12"/>
      <c r="AK758" s="12"/>
    </row>
    <row r="759" spans="1:37">
      <c r="A759" s="10">
        <v>42</v>
      </c>
      <c r="B759" s="11">
        <v>1361</v>
      </c>
      <c r="C759" s="10" t="s">
        <v>786</v>
      </c>
      <c r="D759" s="11" t="s">
        <v>28</v>
      </c>
      <c r="E759" s="11"/>
      <c r="F759" s="11" t="s">
        <v>775</v>
      </c>
      <c r="G759" s="11" t="s">
        <v>26</v>
      </c>
      <c r="H759" s="9"/>
      <c r="I759" s="12"/>
      <c r="J759" s="12">
        <v>150</v>
      </c>
      <c r="K759" s="12">
        <v>2400</v>
      </c>
      <c r="L759" s="12">
        <v>13851</v>
      </c>
      <c r="M759" s="11">
        <f>L759*4+AI759-AJ759</f>
        <v>55404</v>
      </c>
      <c r="N759" s="13"/>
      <c r="O759" s="12"/>
      <c r="P759" s="12"/>
      <c r="Q759" s="12"/>
      <c r="R759" s="12"/>
      <c r="S759" s="12"/>
      <c r="T759" s="12">
        <v>14601</v>
      </c>
      <c r="U759" s="12"/>
      <c r="V759" s="12"/>
      <c r="W759" s="12"/>
      <c r="X759" s="12"/>
      <c r="Y759" s="12"/>
      <c r="Z759" s="12"/>
      <c r="AA759" s="12"/>
      <c r="AB759" s="12"/>
      <c r="AC759" s="12"/>
      <c r="AD759" s="12"/>
      <c r="AE759" s="12"/>
      <c r="AF759" s="13">
        <f>H759+I759+J759+K759+M759-N759</f>
        <v>57954</v>
      </c>
      <c r="AG759" s="13">
        <f>SUM(O759:AE759)</f>
        <v>14601</v>
      </c>
      <c r="AH759" s="13">
        <f>AF759-AG759</f>
        <v>43353</v>
      </c>
      <c r="AI759" s="12"/>
      <c r="AJ759" s="12"/>
      <c r="AK759" s="12"/>
    </row>
    <row r="760" spans="1:37">
      <c r="A760" s="10">
        <v>43</v>
      </c>
      <c r="B760" s="16">
        <v>2060</v>
      </c>
      <c r="C760" s="16" t="s">
        <v>787</v>
      </c>
      <c r="D760" s="16" t="s">
        <v>28</v>
      </c>
      <c r="E760" s="16"/>
      <c r="F760" s="11" t="s">
        <v>775</v>
      </c>
      <c r="G760" s="12" t="s">
        <v>26</v>
      </c>
      <c r="H760" s="9"/>
      <c r="I760" s="12"/>
      <c r="J760" s="12">
        <v>150</v>
      </c>
      <c r="K760" s="12">
        <v>2400</v>
      </c>
      <c r="L760" s="12">
        <v>13851</v>
      </c>
      <c r="M760" s="11">
        <f>L760*4+AI760-AJ760</f>
        <v>55404</v>
      </c>
      <c r="N760" s="13"/>
      <c r="O760" s="9"/>
      <c r="P760" s="12"/>
      <c r="Q760" s="12"/>
      <c r="R760" s="12"/>
      <c r="S760" s="12">
        <v>14601</v>
      </c>
      <c r="T760" s="12"/>
      <c r="U760" s="12"/>
      <c r="V760" s="12"/>
      <c r="W760" s="12"/>
      <c r="X760" s="12"/>
      <c r="Y760" s="12"/>
      <c r="Z760" s="12"/>
      <c r="AA760" s="12"/>
      <c r="AB760" s="12"/>
      <c r="AC760" s="12"/>
      <c r="AD760" s="12"/>
      <c r="AE760" s="12"/>
      <c r="AF760" s="13">
        <f>H760+I760+J760+K760+M760-N760</f>
        <v>57954</v>
      </c>
      <c r="AG760" s="13">
        <f>SUM(O760:AE760)</f>
        <v>14601</v>
      </c>
      <c r="AH760" s="13">
        <f>AF760-AG760</f>
        <v>43353</v>
      </c>
      <c r="AI760" s="12"/>
      <c r="AJ760" s="12"/>
      <c r="AK760" s="12"/>
    </row>
    <row r="761" spans="1:37">
      <c r="A761" s="10">
        <v>44</v>
      </c>
      <c r="B761" s="11">
        <v>1933</v>
      </c>
      <c r="C761" s="10" t="s">
        <v>788</v>
      </c>
      <c r="D761" s="11" t="s">
        <v>28</v>
      </c>
      <c r="E761" s="11"/>
      <c r="F761" s="11" t="s">
        <v>775</v>
      </c>
      <c r="G761" s="11" t="s">
        <v>26</v>
      </c>
      <c r="H761" s="9"/>
      <c r="I761" s="12"/>
      <c r="J761" s="12">
        <v>150</v>
      </c>
      <c r="K761" s="12">
        <v>2400</v>
      </c>
      <c r="L761" s="12">
        <v>13851</v>
      </c>
      <c r="M761" s="11">
        <f>L761*4+AI761-AJ761</f>
        <v>55404</v>
      </c>
      <c r="N761" s="13"/>
      <c r="O761" s="12"/>
      <c r="P761" s="12"/>
      <c r="Q761" s="12"/>
      <c r="R761" s="12"/>
      <c r="S761" s="12"/>
      <c r="T761" s="12"/>
      <c r="U761" s="12">
        <v>14601</v>
      </c>
      <c r="V761" s="12"/>
      <c r="W761" s="12"/>
      <c r="X761" s="12"/>
      <c r="Y761" s="12"/>
      <c r="Z761" s="12"/>
      <c r="AA761" s="12"/>
      <c r="AB761" s="12"/>
      <c r="AC761" s="12"/>
      <c r="AD761" s="12"/>
      <c r="AE761" s="12"/>
      <c r="AF761" s="13">
        <f>H761+I761+J761+K761+M761-N761</f>
        <v>57954</v>
      </c>
      <c r="AG761" s="13">
        <f>SUM(O761:AE761)</f>
        <v>14601</v>
      </c>
      <c r="AH761" s="13">
        <f>AF761-AG761</f>
        <v>43353</v>
      </c>
      <c r="AI761" s="12"/>
      <c r="AJ761" s="12"/>
      <c r="AK761" s="12"/>
    </row>
    <row r="762" spans="1:37">
      <c r="A762" s="10">
        <v>45</v>
      </c>
      <c r="B762" s="11">
        <v>761</v>
      </c>
      <c r="C762" s="10" t="s">
        <v>789</v>
      </c>
      <c r="D762" s="11" t="s">
        <v>23</v>
      </c>
      <c r="E762" s="11"/>
      <c r="F762" s="11" t="s">
        <v>775</v>
      </c>
      <c r="G762" s="11" t="s">
        <v>26</v>
      </c>
      <c r="H762" s="9"/>
      <c r="I762" s="12"/>
      <c r="J762" s="12">
        <v>150</v>
      </c>
      <c r="K762" s="12">
        <v>2400</v>
      </c>
      <c r="L762" s="12">
        <v>13851</v>
      </c>
      <c r="M762" s="11">
        <f>L762*4+AI762-AJ762</f>
        <v>55404</v>
      </c>
      <c r="N762" s="13"/>
      <c r="O762" s="12"/>
      <c r="P762" s="12"/>
      <c r="Q762" s="12"/>
      <c r="R762" s="12"/>
      <c r="S762" s="12"/>
      <c r="T762" s="12">
        <v>14601</v>
      </c>
      <c r="U762" s="12"/>
      <c r="V762" s="12"/>
      <c r="W762" s="12"/>
      <c r="X762" s="12"/>
      <c r="Y762" s="12"/>
      <c r="Z762" s="12"/>
      <c r="AA762" s="12"/>
      <c r="AB762" s="12"/>
      <c r="AC762" s="12"/>
      <c r="AD762" s="12"/>
      <c r="AE762" s="12"/>
      <c r="AF762" s="13">
        <f>H762+I762+J762+K762+M762-N762</f>
        <v>57954</v>
      </c>
      <c r="AG762" s="13">
        <f>SUM(O762:AE762)</f>
        <v>14601</v>
      </c>
      <c r="AH762" s="13">
        <f>AF762-AG762</f>
        <v>43353</v>
      </c>
      <c r="AI762" s="12"/>
      <c r="AJ762" s="12"/>
      <c r="AK762" s="12"/>
    </row>
    <row r="763" spans="1:37">
      <c r="A763" s="10">
        <v>46</v>
      </c>
      <c r="B763" s="11">
        <v>844</v>
      </c>
      <c r="C763" s="10" t="s">
        <v>790</v>
      </c>
      <c r="D763" s="11" t="s">
        <v>28</v>
      </c>
      <c r="E763" s="11"/>
      <c r="F763" s="11" t="s">
        <v>775</v>
      </c>
      <c r="G763" s="11" t="s">
        <v>26</v>
      </c>
      <c r="H763" s="9"/>
      <c r="I763" s="12"/>
      <c r="J763" s="12">
        <v>150</v>
      </c>
      <c r="K763" s="12">
        <v>2400</v>
      </c>
      <c r="L763" s="12">
        <v>13851</v>
      </c>
      <c r="M763" s="11">
        <f>L763*4+AI763-AJ763</f>
        <v>55404</v>
      </c>
      <c r="N763" s="13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  <c r="AA763" s="12"/>
      <c r="AB763" s="12"/>
      <c r="AC763" s="12"/>
      <c r="AD763" s="12"/>
      <c r="AE763" s="12"/>
      <c r="AF763" s="13">
        <f>H763+I763+J763+K763+M763-N763</f>
        <v>57954</v>
      </c>
      <c r="AG763" s="13">
        <f>SUM(O763:AE763)</f>
        <v>0</v>
      </c>
      <c r="AH763" s="13">
        <f>AF763-AG763</f>
        <v>57954</v>
      </c>
      <c r="AI763" s="12"/>
      <c r="AJ763" s="12"/>
      <c r="AK763" s="12"/>
    </row>
    <row r="764" spans="1:37" customHeight="1" ht="25.5">
      <c r="A764" s="10">
        <v>47</v>
      </c>
      <c r="B764" s="22"/>
      <c r="C764" s="21" t="s">
        <v>706</v>
      </c>
      <c r="D764" s="22" t="s">
        <v>28</v>
      </c>
      <c r="E764" s="22" t="s">
        <v>24</v>
      </c>
      <c r="F764" s="22" t="s">
        <v>775</v>
      </c>
      <c r="G764" s="22" t="s">
        <v>26</v>
      </c>
      <c r="H764" s="9">
        <v>6000</v>
      </c>
      <c r="I764" s="12">
        <v>1200</v>
      </c>
      <c r="J764" s="12">
        <v>150</v>
      </c>
      <c r="K764" s="12">
        <v>2400</v>
      </c>
      <c r="L764" s="12">
        <v>13851</v>
      </c>
      <c r="M764" s="11">
        <f>L764*4+AI764-AJ764</f>
        <v>55404</v>
      </c>
      <c r="N764" s="13"/>
      <c r="O764" s="12">
        <v>6000</v>
      </c>
      <c r="P764" s="12">
        <v>1200</v>
      </c>
      <c r="Q764" s="12"/>
      <c r="R764" s="12"/>
      <c r="S764" s="11">
        <f>13851+600+150</f>
        <v>14601</v>
      </c>
      <c r="T764" s="12"/>
      <c r="U764" s="12"/>
      <c r="V764" s="12"/>
      <c r="W764" s="12"/>
      <c r="X764" s="12"/>
      <c r="Y764" s="12"/>
      <c r="Z764" s="12"/>
      <c r="AA764" s="12"/>
      <c r="AB764" s="12"/>
      <c r="AC764" s="12"/>
      <c r="AD764" s="12"/>
      <c r="AE764" s="12"/>
      <c r="AF764" s="13">
        <f>H764+I764+J764+K764+M764-N764</f>
        <v>65154</v>
      </c>
      <c r="AG764" s="13">
        <f>SUM(O764:AE764)</f>
        <v>21801</v>
      </c>
      <c r="AH764" s="13">
        <f>AF764-AG764</f>
        <v>43353</v>
      </c>
      <c r="AI764" s="12"/>
      <c r="AJ764" s="12"/>
      <c r="AK764" s="12"/>
    </row>
    <row r="765" spans="1:37">
      <c r="A765" s="10">
        <v>48</v>
      </c>
      <c r="B765" s="11">
        <v>1259</v>
      </c>
      <c r="C765" s="10" t="s">
        <v>791</v>
      </c>
      <c r="D765" s="11" t="s">
        <v>23</v>
      </c>
      <c r="E765" s="11"/>
      <c r="F765" s="11" t="s">
        <v>775</v>
      </c>
      <c r="G765" s="11" t="s">
        <v>26</v>
      </c>
      <c r="H765" s="9"/>
      <c r="I765" s="12"/>
      <c r="J765" s="12">
        <v>150</v>
      </c>
      <c r="K765" s="12">
        <v>2400</v>
      </c>
      <c r="L765" s="12">
        <v>13851</v>
      </c>
      <c r="M765" s="11">
        <f>L765*4+AI765-AJ765</f>
        <v>55404</v>
      </c>
      <c r="N765" s="13"/>
      <c r="O765" s="12"/>
      <c r="P765" s="12"/>
      <c r="Q765" s="12"/>
      <c r="R765" s="12"/>
      <c r="S765" s="12"/>
      <c r="T765" s="12"/>
      <c r="U765" s="12">
        <v>14601</v>
      </c>
      <c r="V765" s="12"/>
      <c r="W765" s="12"/>
      <c r="X765" s="12"/>
      <c r="Y765" s="12"/>
      <c r="Z765" s="12"/>
      <c r="AA765" s="12"/>
      <c r="AB765" s="12"/>
      <c r="AC765" s="12"/>
      <c r="AD765" s="12"/>
      <c r="AE765" s="12"/>
      <c r="AF765" s="13">
        <f>H765+I765+J765+K765+M765-N765</f>
        <v>57954</v>
      </c>
      <c r="AG765" s="13">
        <f>SUM(O765:AE765)</f>
        <v>14601</v>
      </c>
      <c r="AH765" s="13">
        <f>AF765-AG765</f>
        <v>43353</v>
      </c>
      <c r="AI765" s="12"/>
      <c r="AJ765" s="12"/>
      <c r="AK765" s="12"/>
    </row>
    <row r="766" spans="1:37">
      <c r="A766" s="10">
        <v>49</v>
      </c>
      <c r="B766" s="10">
        <v>1813</v>
      </c>
      <c r="C766" s="10" t="s">
        <v>792</v>
      </c>
      <c r="D766" s="11" t="s">
        <v>28</v>
      </c>
      <c r="E766" s="42"/>
      <c r="F766" s="11" t="s">
        <v>775</v>
      </c>
      <c r="G766" s="11" t="s">
        <v>26</v>
      </c>
      <c r="H766" s="12"/>
      <c r="I766" s="12"/>
      <c r="J766" s="12">
        <v>150</v>
      </c>
      <c r="K766" s="12">
        <v>2400</v>
      </c>
      <c r="L766" s="12">
        <v>13851</v>
      </c>
      <c r="M766" s="11">
        <f>L766*4+AI766-AJ766</f>
        <v>55404</v>
      </c>
      <c r="N766" s="13"/>
      <c r="O766" s="12"/>
      <c r="P766" s="12"/>
      <c r="Q766" s="12"/>
      <c r="R766" s="12"/>
      <c r="S766" s="12"/>
      <c r="T766" s="12"/>
      <c r="U766" s="12"/>
      <c r="V766" s="12">
        <v>14601</v>
      </c>
      <c r="W766" s="12"/>
      <c r="X766" s="12"/>
      <c r="Y766" s="12"/>
      <c r="Z766" s="12"/>
      <c r="AA766" s="12"/>
      <c r="AB766" s="12"/>
      <c r="AC766" s="12"/>
      <c r="AD766" s="12"/>
      <c r="AE766" s="12"/>
      <c r="AF766" s="13">
        <f>H766+I766+J766+K766+M766-N766</f>
        <v>57954</v>
      </c>
      <c r="AG766" s="13">
        <f>SUM(O766:AE766)</f>
        <v>14601</v>
      </c>
      <c r="AH766" s="13">
        <f>AF766-AG766</f>
        <v>43353</v>
      </c>
      <c r="AI766" s="12"/>
      <c r="AJ766" s="12"/>
      <c r="AK766" s="12"/>
    </row>
    <row r="767" spans="1:37">
      <c r="A767" s="10">
        <v>50</v>
      </c>
      <c r="B767" s="11">
        <v>1344</v>
      </c>
      <c r="C767" s="10" t="s">
        <v>793</v>
      </c>
      <c r="D767" s="11" t="s">
        <v>28</v>
      </c>
      <c r="E767" s="11"/>
      <c r="F767" s="11" t="s">
        <v>775</v>
      </c>
      <c r="G767" s="11" t="s">
        <v>26</v>
      </c>
      <c r="H767" s="9"/>
      <c r="I767" s="12"/>
      <c r="J767" s="12">
        <v>150</v>
      </c>
      <c r="K767" s="12">
        <v>2400</v>
      </c>
      <c r="L767" s="12">
        <v>13851</v>
      </c>
      <c r="M767" s="11">
        <f>L767*4+AI767-AJ767</f>
        <v>55404</v>
      </c>
      <c r="N767" s="13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  <c r="AA767" s="12"/>
      <c r="AB767" s="12"/>
      <c r="AC767" s="12"/>
      <c r="AD767" s="12"/>
      <c r="AE767" s="12"/>
      <c r="AF767" s="13">
        <f>H767+I767+J767+K767+M767-N767</f>
        <v>57954</v>
      </c>
      <c r="AG767" s="13">
        <f>SUM(O767:AE767)</f>
        <v>0</v>
      </c>
      <c r="AH767" s="13">
        <f>AF767-AG767</f>
        <v>57954</v>
      </c>
      <c r="AI767" s="12"/>
      <c r="AJ767" s="12"/>
      <c r="AK767" s="12"/>
    </row>
    <row r="768" spans="1:37">
      <c r="A768" s="10">
        <v>51</v>
      </c>
      <c r="B768" s="11">
        <v>1897</v>
      </c>
      <c r="C768" s="10" t="s">
        <v>794</v>
      </c>
      <c r="D768" s="11" t="s">
        <v>28</v>
      </c>
      <c r="E768" s="11"/>
      <c r="F768" s="11" t="s">
        <v>775</v>
      </c>
      <c r="G768" s="11" t="s">
        <v>26</v>
      </c>
      <c r="H768" s="9"/>
      <c r="I768" s="12"/>
      <c r="J768" s="12">
        <v>150</v>
      </c>
      <c r="K768" s="12">
        <v>2400</v>
      </c>
      <c r="L768" s="12">
        <v>13851</v>
      </c>
      <c r="M768" s="11">
        <f>L768*4+AI768-AJ768</f>
        <v>55404</v>
      </c>
      <c r="N768" s="13">
        <v>2770</v>
      </c>
      <c r="O768" s="12"/>
      <c r="P768" s="12"/>
      <c r="Q768" s="12"/>
      <c r="R768" s="12"/>
      <c r="S768" s="12"/>
      <c r="T768" s="12">
        <v>55184</v>
      </c>
      <c r="U768" s="12"/>
      <c r="V768" s="12"/>
      <c r="W768" s="12"/>
      <c r="X768" s="12"/>
      <c r="Y768" s="12"/>
      <c r="Z768" s="12"/>
      <c r="AA768" s="12"/>
      <c r="AB768" s="12"/>
      <c r="AC768" s="12"/>
      <c r="AD768" s="12"/>
      <c r="AE768" s="12"/>
      <c r="AF768" s="13">
        <f>H768+I768+J768+K768+M768-N768</f>
        <v>55184</v>
      </c>
      <c r="AG768" s="13">
        <f>SUM(O768:AE768)</f>
        <v>55184</v>
      </c>
      <c r="AH768" s="13">
        <f>AF768-AG768</f>
        <v>0</v>
      </c>
      <c r="AI768" s="12"/>
      <c r="AJ768" s="12"/>
      <c r="AK768" s="12"/>
    </row>
    <row r="769" spans="1:37">
      <c r="A769" s="10">
        <v>52</v>
      </c>
      <c r="B769" s="11">
        <v>1628</v>
      </c>
      <c r="C769" s="10" t="s">
        <v>795</v>
      </c>
      <c r="D769" s="11" t="s">
        <v>23</v>
      </c>
      <c r="E769" s="11"/>
      <c r="F769" s="11" t="s">
        <v>775</v>
      </c>
      <c r="G769" s="11" t="s">
        <v>26</v>
      </c>
      <c r="H769" s="9"/>
      <c r="I769" s="12"/>
      <c r="J769" s="12">
        <v>150</v>
      </c>
      <c r="K769" s="12">
        <v>2400</v>
      </c>
      <c r="L769" s="12">
        <v>13851</v>
      </c>
      <c r="M769" s="11">
        <f>L769*4+AI769-AJ769</f>
        <v>55404</v>
      </c>
      <c r="N769" s="13"/>
      <c r="O769" s="12"/>
      <c r="P769" s="12"/>
      <c r="Q769" s="12"/>
      <c r="R769" s="12"/>
      <c r="S769" s="12"/>
      <c r="T769" s="12"/>
      <c r="U769" s="12">
        <v>14601</v>
      </c>
      <c r="V769" s="12"/>
      <c r="W769" s="12"/>
      <c r="X769" s="12"/>
      <c r="Y769" s="12"/>
      <c r="Z769" s="12"/>
      <c r="AA769" s="12"/>
      <c r="AB769" s="12"/>
      <c r="AC769" s="12"/>
      <c r="AD769" s="12"/>
      <c r="AE769" s="12"/>
      <c r="AF769" s="13">
        <f>H769+I769+J769+K769+M769-N769</f>
        <v>57954</v>
      </c>
      <c r="AG769" s="13">
        <f>SUM(O769:AE769)</f>
        <v>14601</v>
      </c>
      <c r="AH769" s="13">
        <f>AF769-AG769</f>
        <v>43353</v>
      </c>
      <c r="AI769" s="12"/>
      <c r="AJ769" s="12"/>
      <c r="AK769" s="12"/>
    </row>
    <row r="770" spans="1:37">
      <c r="A770" s="10">
        <v>53</v>
      </c>
      <c r="B770" s="11">
        <v>1032</v>
      </c>
      <c r="C770" s="10" t="s">
        <v>796</v>
      </c>
      <c r="D770" s="11" t="s">
        <v>28</v>
      </c>
      <c r="E770" s="11"/>
      <c r="F770" s="11" t="s">
        <v>775</v>
      </c>
      <c r="G770" s="11" t="s">
        <v>26</v>
      </c>
      <c r="H770" s="9"/>
      <c r="I770" s="12"/>
      <c r="J770" s="12">
        <v>150</v>
      </c>
      <c r="K770" s="12">
        <v>2400</v>
      </c>
      <c r="L770" s="12">
        <v>13851</v>
      </c>
      <c r="M770" s="11">
        <f>L770*4+AI770-AJ770</f>
        <v>55404</v>
      </c>
      <c r="N770" s="13"/>
      <c r="O770" s="12"/>
      <c r="P770" s="12"/>
      <c r="Q770" s="12"/>
      <c r="R770" s="12"/>
      <c r="S770" s="12"/>
      <c r="T770" s="12"/>
      <c r="U770" s="12">
        <v>14601</v>
      </c>
      <c r="V770" s="12"/>
      <c r="W770" s="12"/>
      <c r="X770" s="12"/>
      <c r="Y770" s="12"/>
      <c r="Z770" s="12"/>
      <c r="AA770" s="12"/>
      <c r="AB770" s="12"/>
      <c r="AC770" s="12"/>
      <c r="AD770" s="12"/>
      <c r="AE770" s="12"/>
      <c r="AF770" s="13">
        <f>H770+I770+J770+K770+M770-N770</f>
        <v>57954</v>
      </c>
      <c r="AG770" s="13">
        <f>SUM(O770:AE770)</f>
        <v>14601</v>
      </c>
      <c r="AH770" s="13">
        <f>AF770-AG770</f>
        <v>43353</v>
      </c>
      <c r="AI770" s="12"/>
      <c r="AJ770" s="12"/>
      <c r="AK770" s="12"/>
    </row>
    <row r="771" spans="1:37">
      <c r="A771" s="10">
        <v>54</v>
      </c>
      <c r="B771" s="26">
        <v>1941</v>
      </c>
      <c r="C771" s="27" t="s">
        <v>797</v>
      </c>
      <c r="D771" s="27" t="s">
        <v>23</v>
      </c>
      <c r="E771" s="27"/>
      <c r="F771" s="27" t="s">
        <v>775</v>
      </c>
      <c r="G771" s="27" t="s">
        <v>62</v>
      </c>
      <c r="H771" s="12"/>
      <c r="I771" s="12"/>
      <c r="J771" s="12">
        <v>150</v>
      </c>
      <c r="K771" s="12">
        <v>2400</v>
      </c>
      <c r="L771" s="12">
        <v>6926</v>
      </c>
      <c r="M771" s="11">
        <f>L771*4+AI771-AJ771</f>
        <v>27704</v>
      </c>
      <c r="N771" s="13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  <c r="AA771" s="12"/>
      <c r="AB771" s="12"/>
      <c r="AC771" s="12"/>
      <c r="AD771" s="12"/>
      <c r="AE771" s="12"/>
      <c r="AF771" s="13">
        <f>H771+I771+J771+K771+M771-N771</f>
        <v>30254</v>
      </c>
      <c r="AG771" s="13">
        <f>SUM(O771:AE771)</f>
        <v>0</v>
      </c>
      <c r="AH771" s="13">
        <f>AF771-AG771</f>
        <v>30254</v>
      </c>
      <c r="AI771" s="12"/>
      <c r="AJ771" s="12"/>
      <c r="AK771" s="12"/>
    </row>
    <row r="772" spans="1:37">
      <c r="A772" s="10">
        <v>55</v>
      </c>
      <c r="B772" s="10">
        <v>1736</v>
      </c>
      <c r="C772" s="11" t="s">
        <v>798</v>
      </c>
      <c r="D772" s="11" t="s">
        <v>28</v>
      </c>
      <c r="E772" s="11"/>
      <c r="F772" s="11" t="s">
        <v>775</v>
      </c>
      <c r="G772" s="11" t="s">
        <v>62</v>
      </c>
      <c r="H772" s="12"/>
      <c r="I772" s="12"/>
      <c r="J772" s="12">
        <v>150</v>
      </c>
      <c r="K772" s="12">
        <v>2400</v>
      </c>
      <c r="L772" s="12">
        <v>13851</v>
      </c>
      <c r="M772" s="11">
        <f>L772*4+AI772-AJ772</f>
        <v>55404</v>
      </c>
      <c r="N772" s="13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  <c r="AA772" s="12"/>
      <c r="AB772" s="12"/>
      <c r="AC772" s="12"/>
      <c r="AD772" s="12"/>
      <c r="AE772" s="12"/>
      <c r="AF772" s="13">
        <f>H772+I772+J772+K772+M772-N772</f>
        <v>57954</v>
      </c>
      <c r="AG772" s="13">
        <f>SUM(O772:AE772)</f>
        <v>0</v>
      </c>
      <c r="AH772" s="13">
        <f>AF772-AG772</f>
        <v>57954</v>
      </c>
      <c r="AI772" s="12"/>
      <c r="AJ772" s="12"/>
      <c r="AK772" s="12"/>
    </row>
    <row r="773" spans="1:37">
      <c r="A773" s="10">
        <v>56</v>
      </c>
      <c r="B773" s="11">
        <v>817</v>
      </c>
      <c r="C773" s="10" t="s">
        <v>799</v>
      </c>
      <c r="D773" s="11" t="s">
        <v>28</v>
      </c>
      <c r="E773" s="11"/>
      <c r="F773" s="11" t="s">
        <v>775</v>
      </c>
      <c r="G773" s="11" t="s">
        <v>62</v>
      </c>
      <c r="H773" s="9"/>
      <c r="I773" s="12"/>
      <c r="J773" s="12">
        <v>150</v>
      </c>
      <c r="K773" s="12">
        <v>2400</v>
      </c>
      <c r="L773" s="12">
        <v>13851</v>
      </c>
      <c r="M773" s="11">
        <f>L773*4+AI773-AJ773</f>
        <v>55404</v>
      </c>
      <c r="N773" s="13"/>
      <c r="O773" s="12"/>
      <c r="P773" s="12"/>
      <c r="Q773" s="12"/>
      <c r="R773" s="12"/>
      <c r="S773" s="12">
        <v>14601</v>
      </c>
      <c r="T773" s="12"/>
      <c r="U773" s="12"/>
      <c r="V773" s="12">
        <v>14451</v>
      </c>
      <c r="W773" s="12"/>
      <c r="X773" s="12"/>
      <c r="Y773" s="12"/>
      <c r="Z773" s="12"/>
      <c r="AA773" s="12"/>
      <c r="AB773" s="12"/>
      <c r="AC773" s="12"/>
      <c r="AD773" s="12"/>
      <c r="AE773" s="12"/>
      <c r="AF773" s="13">
        <f>H773+I773+J773+K773+M773-N773</f>
        <v>57954</v>
      </c>
      <c r="AG773" s="13">
        <f>SUM(O773:AE773)</f>
        <v>29052</v>
      </c>
      <c r="AH773" s="13">
        <f>AF773-AG773</f>
        <v>28902</v>
      </c>
      <c r="AI773" s="12"/>
      <c r="AJ773" s="12"/>
      <c r="AK773" s="12"/>
    </row>
    <row r="774" spans="1:37">
      <c r="A774" s="10">
        <v>57</v>
      </c>
      <c r="B774" s="10">
        <v>1781</v>
      </c>
      <c r="C774" s="11" t="s">
        <v>800</v>
      </c>
      <c r="D774" s="11" t="s">
        <v>23</v>
      </c>
      <c r="E774" s="11"/>
      <c r="F774" s="11" t="s">
        <v>775</v>
      </c>
      <c r="G774" s="11" t="s">
        <v>62</v>
      </c>
      <c r="H774" s="12"/>
      <c r="I774" s="12"/>
      <c r="J774" s="12">
        <v>150</v>
      </c>
      <c r="K774" s="12">
        <v>2400</v>
      </c>
      <c r="L774" s="12">
        <v>13851</v>
      </c>
      <c r="M774" s="11">
        <f>L774*4+AI774-AJ774</f>
        <v>55404</v>
      </c>
      <c r="N774" s="13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  <c r="AA774" s="12"/>
      <c r="AB774" s="12"/>
      <c r="AC774" s="12"/>
      <c r="AD774" s="12"/>
      <c r="AE774" s="12"/>
      <c r="AF774" s="13">
        <f>H774+I774+J774+K774+M774-N774</f>
        <v>57954</v>
      </c>
      <c r="AG774" s="13">
        <f>SUM(O774:AE774)</f>
        <v>0</v>
      </c>
      <c r="AH774" s="13">
        <f>AF774-AG774</f>
        <v>57954</v>
      </c>
      <c r="AI774" s="12"/>
      <c r="AJ774" s="12"/>
      <c r="AK774" s="12"/>
    </row>
    <row r="775" spans="1:37">
      <c r="A775" s="10">
        <v>58</v>
      </c>
      <c r="B775" s="11">
        <v>1186</v>
      </c>
      <c r="C775" s="10" t="s">
        <v>801</v>
      </c>
      <c r="D775" s="11" t="s">
        <v>28</v>
      </c>
      <c r="E775" s="11"/>
      <c r="F775" s="11" t="s">
        <v>775</v>
      </c>
      <c r="G775" s="11" t="s">
        <v>62</v>
      </c>
      <c r="H775" s="9"/>
      <c r="I775" s="12"/>
      <c r="J775" s="12">
        <v>150</v>
      </c>
      <c r="K775" s="12">
        <v>2400</v>
      </c>
      <c r="L775" s="12">
        <v>13851</v>
      </c>
      <c r="M775" s="11">
        <f>L775*4+AI775-AJ775</f>
        <v>55404</v>
      </c>
      <c r="N775" s="13"/>
      <c r="O775" s="12"/>
      <c r="P775" s="12"/>
      <c r="Q775" s="12"/>
      <c r="R775" s="12"/>
      <c r="S775" s="12"/>
      <c r="T775" s="12"/>
      <c r="U775" s="12"/>
      <c r="V775" s="12">
        <v>12841</v>
      </c>
      <c r="W775" s="12"/>
      <c r="X775" s="12"/>
      <c r="Y775" s="12"/>
      <c r="Z775" s="12"/>
      <c r="AA775" s="12"/>
      <c r="AB775" s="12"/>
      <c r="AC775" s="12"/>
      <c r="AD775" s="12"/>
      <c r="AE775" s="12"/>
      <c r="AF775" s="13">
        <f>H775+I775+J775+K775+M775-N775</f>
        <v>57954</v>
      </c>
      <c r="AG775" s="13">
        <f>SUM(O775:AE775)</f>
        <v>12841</v>
      </c>
      <c r="AH775" s="13">
        <f>AF775-AG775</f>
        <v>45113</v>
      </c>
      <c r="AI775" s="12"/>
      <c r="AJ775" s="12"/>
      <c r="AK775" s="12"/>
    </row>
    <row r="776" spans="1:37">
      <c r="A776" s="10">
        <v>59</v>
      </c>
      <c r="B776" s="11">
        <v>1160</v>
      </c>
      <c r="C776" s="10" t="s">
        <v>802</v>
      </c>
      <c r="D776" s="11" t="s">
        <v>28</v>
      </c>
      <c r="E776" s="11"/>
      <c r="F776" s="11" t="s">
        <v>775</v>
      </c>
      <c r="G776" s="11" t="s">
        <v>62</v>
      </c>
      <c r="H776" s="9"/>
      <c r="I776" s="12"/>
      <c r="J776" s="12">
        <v>150</v>
      </c>
      <c r="K776" s="12">
        <v>2400</v>
      </c>
      <c r="L776" s="12">
        <v>13851</v>
      </c>
      <c r="M776" s="11">
        <f>L776*4+AI776-AJ776</f>
        <v>55404</v>
      </c>
      <c r="N776" s="13"/>
      <c r="O776" s="12"/>
      <c r="P776" s="12"/>
      <c r="Q776" s="12"/>
      <c r="R776" s="12"/>
      <c r="S776" s="12"/>
      <c r="T776" s="12">
        <v>52424</v>
      </c>
      <c r="U776" s="12"/>
      <c r="V776" s="12"/>
      <c r="W776" s="12"/>
      <c r="X776" s="12"/>
      <c r="Y776" s="12"/>
      <c r="Z776" s="12"/>
      <c r="AA776" s="12"/>
      <c r="AB776" s="12"/>
      <c r="AC776" s="12"/>
      <c r="AD776" s="12"/>
      <c r="AE776" s="12"/>
      <c r="AF776" s="13">
        <f>H776+I776+J776+K776+M776-N776</f>
        <v>57954</v>
      </c>
      <c r="AG776" s="13">
        <f>SUM(O776:AE776)</f>
        <v>52424</v>
      </c>
      <c r="AH776" s="13">
        <f>AF776-AG776</f>
        <v>5530</v>
      </c>
      <c r="AI776" s="12"/>
      <c r="AJ776" s="12"/>
      <c r="AK776" s="12"/>
    </row>
    <row r="777" spans="1:37">
      <c r="A777" s="10">
        <v>60</v>
      </c>
      <c r="B777" s="11">
        <v>800</v>
      </c>
      <c r="C777" s="10" t="s">
        <v>803</v>
      </c>
      <c r="D777" s="11" t="s">
        <v>28</v>
      </c>
      <c r="E777" s="11"/>
      <c r="F777" s="11" t="s">
        <v>775</v>
      </c>
      <c r="G777" s="11" t="s">
        <v>62</v>
      </c>
      <c r="H777" s="16"/>
      <c r="I777" s="12"/>
      <c r="J777" s="12">
        <v>150</v>
      </c>
      <c r="K777" s="12">
        <v>2400</v>
      </c>
      <c r="L777" s="12">
        <v>13851</v>
      </c>
      <c r="M777" s="11">
        <f>L777*4+AI777-AJ777</f>
        <v>55404</v>
      </c>
      <c r="N777" s="13"/>
      <c r="O777" s="12"/>
      <c r="P777" s="12"/>
      <c r="Q777" s="12"/>
      <c r="R777" s="12"/>
      <c r="S777" s="12"/>
      <c r="T777" s="12">
        <v>14601</v>
      </c>
      <c r="U777" s="12"/>
      <c r="V777" s="12"/>
      <c r="W777" s="12"/>
      <c r="X777" s="12"/>
      <c r="Y777" s="12"/>
      <c r="Z777" s="12"/>
      <c r="AA777" s="12"/>
      <c r="AB777" s="12"/>
      <c r="AC777" s="12"/>
      <c r="AD777" s="12"/>
      <c r="AE777" s="12"/>
      <c r="AF777" s="13">
        <f>H777+I777+J777+K777+M777-N777</f>
        <v>57954</v>
      </c>
      <c r="AG777" s="13">
        <f>SUM(O777:AE777)</f>
        <v>14601</v>
      </c>
      <c r="AH777" s="13">
        <f>AF777-AG777</f>
        <v>43353</v>
      </c>
      <c r="AI777" s="12"/>
      <c r="AJ777" s="12"/>
      <c r="AK777" s="12"/>
    </row>
    <row r="778" spans="1:37">
      <c r="A778" s="10">
        <v>61</v>
      </c>
      <c r="B778" s="11">
        <v>1529</v>
      </c>
      <c r="C778" s="10" t="s">
        <v>221</v>
      </c>
      <c r="D778" s="11" t="s">
        <v>28</v>
      </c>
      <c r="E778" s="11"/>
      <c r="F778" s="11" t="s">
        <v>775</v>
      </c>
      <c r="G778" s="11" t="s">
        <v>62</v>
      </c>
      <c r="H778" s="9"/>
      <c r="I778" s="12"/>
      <c r="J778" s="12">
        <v>150</v>
      </c>
      <c r="K778" s="12">
        <v>2400</v>
      </c>
      <c r="L778" s="12">
        <v>13851</v>
      </c>
      <c r="M778" s="11">
        <f>L778*4+AI778-AJ778</f>
        <v>55404</v>
      </c>
      <c r="N778" s="13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  <c r="AA778" s="12"/>
      <c r="AB778" s="12"/>
      <c r="AC778" s="12"/>
      <c r="AD778" s="12"/>
      <c r="AE778" s="12"/>
      <c r="AF778" s="13">
        <f>H778+I778+J778+K778+M778-N778</f>
        <v>57954</v>
      </c>
      <c r="AG778" s="13">
        <f>SUM(O778:AE778)</f>
        <v>0</v>
      </c>
      <c r="AH778" s="13">
        <f>AF778-AG778</f>
        <v>57954</v>
      </c>
      <c r="AI778" s="12"/>
      <c r="AJ778" s="12"/>
      <c r="AK778" s="12"/>
    </row>
    <row r="779" spans="1:37">
      <c r="A779" s="10">
        <v>62</v>
      </c>
      <c r="B779" s="11">
        <v>847</v>
      </c>
      <c r="C779" s="10" t="s">
        <v>804</v>
      </c>
      <c r="D779" s="11" t="s">
        <v>23</v>
      </c>
      <c r="E779" s="11"/>
      <c r="F779" s="11" t="s">
        <v>775</v>
      </c>
      <c r="G779" s="11" t="s">
        <v>62</v>
      </c>
      <c r="H779" s="9"/>
      <c r="I779" s="12"/>
      <c r="J779" s="12">
        <v>150</v>
      </c>
      <c r="K779" s="12">
        <v>2400</v>
      </c>
      <c r="L779" s="12">
        <v>13851</v>
      </c>
      <c r="M779" s="11">
        <f>L779*4+AI779-AJ779</f>
        <v>55404</v>
      </c>
      <c r="N779" s="13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  <c r="AA779" s="12"/>
      <c r="AB779" s="12"/>
      <c r="AC779" s="12"/>
      <c r="AD779" s="12"/>
      <c r="AE779" s="12"/>
      <c r="AF779" s="13">
        <f>H779+I779+J779+K779+M779-N779</f>
        <v>57954</v>
      </c>
      <c r="AG779" s="13">
        <f>SUM(O779:AE779)</f>
        <v>0</v>
      </c>
      <c r="AH779" s="13">
        <f>AF779-AG779</f>
        <v>57954</v>
      </c>
      <c r="AI779" s="12"/>
      <c r="AJ779" s="12"/>
      <c r="AK779" s="12"/>
    </row>
    <row r="780" spans="1:37">
      <c r="A780" s="10">
        <v>63</v>
      </c>
      <c r="B780" s="11">
        <v>753</v>
      </c>
      <c r="C780" s="10" t="s">
        <v>805</v>
      </c>
      <c r="D780" s="11" t="s">
        <v>28</v>
      </c>
      <c r="E780" s="11"/>
      <c r="F780" s="11" t="s">
        <v>775</v>
      </c>
      <c r="G780" s="11" t="s">
        <v>62</v>
      </c>
      <c r="H780" s="9"/>
      <c r="I780" s="12"/>
      <c r="J780" s="12">
        <v>150</v>
      </c>
      <c r="K780" s="12">
        <v>2400</v>
      </c>
      <c r="L780" s="12">
        <v>13851</v>
      </c>
      <c r="M780" s="11">
        <f>L780*4+AI780-AJ780</f>
        <v>55404</v>
      </c>
      <c r="N780" s="13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  <c r="AA780" s="12"/>
      <c r="AB780" s="12"/>
      <c r="AC780" s="12"/>
      <c r="AD780" s="12"/>
      <c r="AE780" s="12"/>
      <c r="AF780" s="13">
        <f>H780+I780+J780+K780+M780-N780</f>
        <v>57954</v>
      </c>
      <c r="AG780" s="13">
        <f>SUM(O780:AE780)</f>
        <v>0</v>
      </c>
      <c r="AH780" s="13">
        <f>AF780-AG780</f>
        <v>57954</v>
      </c>
      <c r="AI780" s="12"/>
      <c r="AJ780" s="12"/>
      <c r="AK780" s="12"/>
    </row>
    <row r="781" spans="1:37">
      <c r="A781" s="10">
        <v>64</v>
      </c>
      <c r="B781" s="10">
        <v>1964</v>
      </c>
      <c r="C781" s="10" t="s">
        <v>806</v>
      </c>
      <c r="D781" s="10" t="s">
        <v>23</v>
      </c>
      <c r="E781" s="10"/>
      <c r="F781" s="11" t="s">
        <v>775</v>
      </c>
      <c r="G781" s="36" t="s">
        <v>62</v>
      </c>
      <c r="H781" s="9"/>
      <c r="I781" s="12"/>
      <c r="J781" s="12">
        <v>150</v>
      </c>
      <c r="K781" s="12">
        <v>2400</v>
      </c>
      <c r="L781" s="12">
        <v>13851</v>
      </c>
      <c r="M781" s="11">
        <f>L781*4+AI781-AJ781</f>
        <v>55404</v>
      </c>
      <c r="N781" s="13"/>
      <c r="O781" s="12"/>
      <c r="P781" s="12"/>
      <c r="Q781" s="12"/>
      <c r="R781" s="12"/>
      <c r="S781" s="12"/>
      <c r="T781" s="12"/>
      <c r="U781" s="12"/>
      <c r="V781" s="12">
        <v>14601</v>
      </c>
      <c r="W781" s="12"/>
      <c r="X781" s="12"/>
      <c r="Y781" s="12"/>
      <c r="Z781" s="12"/>
      <c r="AA781" s="12"/>
      <c r="AB781" s="12"/>
      <c r="AC781" s="12"/>
      <c r="AD781" s="12"/>
      <c r="AE781" s="12"/>
      <c r="AF781" s="13">
        <f>H781+I781+J781+K781+M781-N781</f>
        <v>57954</v>
      </c>
      <c r="AG781" s="13">
        <f>SUM(O781:AE781)</f>
        <v>14601</v>
      </c>
      <c r="AH781" s="13">
        <f>AF781-AG781</f>
        <v>43353</v>
      </c>
      <c r="AI781" s="12"/>
      <c r="AJ781" s="12"/>
      <c r="AK781" s="12"/>
    </row>
    <row r="782" spans="1:37">
      <c r="A782" s="10">
        <v>65</v>
      </c>
      <c r="B782" s="11">
        <v>966</v>
      </c>
      <c r="C782" s="10" t="s">
        <v>807</v>
      </c>
      <c r="D782" s="11" t="s">
        <v>28</v>
      </c>
      <c r="E782" s="11"/>
      <c r="F782" s="11" t="s">
        <v>775</v>
      </c>
      <c r="G782" s="11" t="s">
        <v>62</v>
      </c>
      <c r="H782" s="9"/>
      <c r="I782" s="12"/>
      <c r="J782" s="12">
        <v>150</v>
      </c>
      <c r="K782" s="12">
        <v>2400</v>
      </c>
      <c r="L782" s="12">
        <v>13851</v>
      </c>
      <c r="M782" s="11">
        <f>L782*4+AI782-AJ782</f>
        <v>55404</v>
      </c>
      <c r="N782" s="13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  <c r="AA782" s="12"/>
      <c r="AB782" s="12"/>
      <c r="AC782" s="12"/>
      <c r="AD782" s="12"/>
      <c r="AE782" s="12"/>
      <c r="AF782" s="13">
        <f>H782+I782+J782+K782+M782-N782</f>
        <v>57954</v>
      </c>
      <c r="AG782" s="13">
        <f>SUM(O782:AE782)</f>
        <v>0</v>
      </c>
      <c r="AH782" s="13">
        <f>AF782-AG782</f>
        <v>57954</v>
      </c>
      <c r="AI782" s="12"/>
      <c r="AJ782" s="12"/>
      <c r="AK782" s="12"/>
    </row>
    <row r="783" spans="1:37">
      <c r="A783" s="10">
        <v>66</v>
      </c>
      <c r="B783" s="11">
        <v>1609</v>
      </c>
      <c r="C783" s="11" t="s">
        <v>808</v>
      </c>
      <c r="D783" s="11" t="s">
        <v>28</v>
      </c>
      <c r="E783" s="11"/>
      <c r="F783" s="11" t="s">
        <v>775</v>
      </c>
      <c r="G783" s="11" t="s">
        <v>62</v>
      </c>
      <c r="H783" s="9"/>
      <c r="I783" s="12"/>
      <c r="J783" s="12">
        <v>150</v>
      </c>
      <c r="K783" s="12">
        <v>2400</v>
      </c>
      <c r="L783" s="12">
        <v>13851</v>
      </c>
      <c r="M783" s="11">
        <f>L783*4+AI783-AJ783</f>
        <v>55404</v>
      </c>
      <c r="N783" s="13"/>
      <c r="O783" s="12"/>
      <c r="P783" s="12"/>
      <c r="Q783" s="12"/>
      <c r="R783" s="12"/>
      <c r="S783" s="12"/>
      <c r="T783" s="12"/>
      <c r="U783" s="12">
        <v>12991</v>
      </c>
      <c r="V783" s="12"/>
      <c r="W783" s="12"/>
      <c r="X783" s="12"/>
      <c r="Y783" s="12"/>
      <c r="Z783" s="12"/>
      <c r="AA783" s="12"/>
      <c r="AB783" s="12"/>
      <c r="AC783" s="12"/>
      <c r="AD783" s="12"/>
      <c r="AE783" s="12"/>
      <c r="AF783" s="13">
        <f>H783+I783+J783+K783+M783-N783</f>
        <v>57954</v>
      </c>
      <c r="AG783" s="13">
        <f>SUM(O783:AE783)</f>
        <v>12991</v>
      </c>
      <c r="AH783" s="13">
        <f>AF783-AG783</f>
        <v>44963</v>
      </c>
      <c r="AI783" s="12"/>
      <c r="AJ783" s="12"/>
      <c r="AK783" s="12"/>
    </row>
    <row r="784" spans="1:37">
      <c r="A784" s="10">
        <v>67</v>
      </c>
      <c r="B784" s="11">
        <v>1044</v>
      </c>
      <c r="C784" s="10" t="s">
        <v>809</v>
      </c>
      <c r="D784" s="11" t="s">
        <v>28</v>
      </c>
      <c r="E784" s="11"/>
      <c r="F784" s="11" t="s">
        <v>775</v>
      </c>
      <c r="G784" s="11" t="s">
        <v>62</v>
      </c>
      <c r="H784" s="9"/>
      <c r="I784" s="12"/>
      <c r="J784" s="12">
        <v>150</v>
      </c>
      <c r="K784" s="12">
        <v>2400</v>
      </c>
      <c r="L784" s="12">
        <v>13851</v>
      </c>
      <c r="M784" s="11">
        <f>L784*4+AI784-AJ784</f>
        <v>54954</v>
      </c>
      <c r="N784" s="13">
        <v>2320</v>
      </c>
      <c r="O784" s="12"/>
      <c r="P784" s="12"/>
      <c r="Q784" s="12"/>
      <c r="R784" s="12"/>
      <c r="S784" s="12">
        <v>55184</v>
      </c>
      <c r="T784" s="12"/>
      <c r="U784" s="12"/>
      <c r="V784" s="12"/>
      <c r="W784" s="12"/>
      <c r="X784" s="12"/>
      <c r="Y784" s="12"/>
      <c r="Z784" s="12"/>
      <c r="AA784" s="12"/>
      <c r="AB784" s="12"/>
      <c r="AC784" s="12"/>
      <c r="AD784" s="12"/>
      <c r="AE784" s="12"/>
      <c r="AF784" s="13">
        <f>H784+I784+J784+K784+M784-N784</f>
        <v>55184</v>
      </c>
      <c r="AG784" s="13">
        <f>SUM(O784:AE784)</f>
        <v>55184</v>
      </c>
      <c r="AH784" s="13">
        <f>AF784-AG784</f>
        <v>0</v>
      </c>
      <c r="AI784" s="12"/>
      <c r="AJ784" s="12">
        <v>450</v>
      </c>
      <c r="AK784" s="12"/>
    </row>
    <row r="785" spans="1:37">
      <c r="A785" s="10">
        <v>68</v>
      </c>
      <c r="B785" s="22">
        <v>2238</v>
      </c>
      <c r="C785" s="21" t="s">
        <v>810</v>
      </c>
      <c r="D785" s="22" t="s">
        <v>23</v>
      </c>
      <c r="E785" s="22" t="s">
        <v>24</v>
      </c>
      <c r="F785" s="22" t="s">
        <v>775</v>
      </c>
      <c r="G785" s="22" t="s">
        <v>62</v>
      </c>
      <c r="H785" s="9">
        <v>6000</v>
      </c>
      <c r="I785" s="12">
        <v>1200</v>
      </c>
      <c r="J785" s="12">
        <v>150</v>
      </c>
      <c r="K785" s="12">
        <v>2400</v>
      </c>
      <c r="L785" s="12">
        <v>13851</v>
      </c>
      <c r="M785" s="11">
        <f>L785*4+AI785-AJ785</f>
        <v>55404</v>
      </c>
      <c r="N785" s="13"/>
      <c r="O785" s="12">
        <v>6000</v>
      </c>
      <c r="P785" s="12">
        <v>1200</v>
      </c>
      <c r="Q785" s="12"/>
      <c r="R785" s="12"/>
      <c r="S785" s="11">
        <f>13851+600+150</f>
        <v>14601</v>
      </c>
      <c r="T785" s="12"/>
      <c r="U785" s="12"/>
      <c r="V785" s="12"/>
      <c r="W785" s="12"/>
      <c r="X785" s="12"/>
      <c r="Y785" s="12"/>
      <c r="Z785" s="12"/>
      <c r="AA785" s="12"/>
      <c r="AB785" s="12"/>
      <c r="AC785" s="12"/>
      <c r="AD785" s="12"/>
      <c r="AE785" s="12"/>
      <c r="AF785" s="13">
        <f>H785+I785+J785+K785+M785-N785</f>
        <v>65154</v>
      </c>
      <c r="AG785" s="13">
        <f>SUM(O785:AE785)</f>
        <v>21801</v>
      </c>
      <c r="AH785" s="13">
        <f>AF785-AG785</f>
        <v>43353</v>
      </c>
      <c r="AI785" s="12"/>
      <c r="AJ785" s="12"/>
      <c r="AK785" s="12"/>
    </row>
    <row r="786" spans="1:37">
      <c r="A786" s="10">
        <v>69</v>
      </c>
      <c r="B786" s="11">
        <v>825</v>
      </c>
      <c r="C786" s="10" t="s">
        <v>811</v>
      </c>
      <c r="D786" s="11" t="s">
        <v>28</v>
      </c>
      <c r="E786" s="11"/>
      <c r="F786" s="11" t="s">
        <v>775</v>
      </c>
      <c r="G786" s="11" t="s">
        <v>62</v>
      </c>
      <c r="H786" s="9"/>
      <c r="I786" s="12"/>
      <c r="J786" s="12">
        <v>150</v>
      </c>
      <c r="K786" s="12">
        <v>2400</v>
      </c>
      <c r="L786" s="12">
        <v>13851</v>
      </c>
      <c r="M786" s="11">
        <f>L786*4+AI786-AJ786</f>
        <v>55404</v>
      </c>
      <c r="N786" s="13"/>
      <c r="O786" s="12"/>
      <c r="P786" s="12"/>
      <c r="Q786" s="12"/>
      <c r="R786" s="12"/>
      <c r="S786" s="12"/>
      <c r="T786" s="12">
        <v>14601</v>
      </c>
      <c r="U786" s="12"/>
      <c r="V786" s="12"/>
      <c r="W786" s="12"/>
      <c r="X786" s="12"/>
      <c r="Y786" s="12"/>
      <c r="Z786" s="12"/>
      <c r="AA786" s="12"/>
      <c r="AB786" s="12"/>
      <c r="AC786" s="12"/>
      <c r="AD786" s="12"/>
      <c r="AE786" s="12"/>
      <c r="AF786" s="13">
        <f>H786+I786+J786+K786+M786-N786</f>
        <v>57954</v>
      </c>
      <c r="AG786" s="13">
        <f>SUM(O786:AE786)</f>
        <v>14601</v>
      </c>
      <c r="AH786" s="13">
        <f>AF786-AG786</f>
        <v>43353</v>
      </c>
      <c r="AI786" s="12"/>
      <c r="AJ786" s="12"/>
      <c r="AK786" s="12"/>
    </row>
    <row r="787" spans="1:37">
      <c r="A787" s="10">
        <v>70</v>
      </c>
      <c r="B787" s="11">
        <v>762</v>
      </c>
      <c r="C787" s="10" t="s">
        <v>812</v>
      </c>
      <c r="D787" s="11" t="s">
        <v>28</v>
      </c>
      <c r="E787" s="11"/>
      <c r="F787" s="11" t="s">
        <v>775</v>
      </c>
      <c r="G787" s="11" t="s">
        <v>62</v>
      </c>
      <c r="H787" s="9"/>
      <c r="I787" s="12"/>
      <c r="J787" s="12">
        <v>150</v>
      </c>
      <c r="K787" s="12">
        <v>2400</v>
      </c>
      <c r="L787" s="12">
        <v>13851</v>
      </c>
      <c r="M787" s="11">
        <f>L787*4+AI787-AJ787</f>
        <v>55404</v>
      </c>
      <c r="N787" s="13"/>
      <c r="O787" s="12"/>
      <c r="P787" s="12"/>
      <c r="Q787" s="12"/>
      <c r="R787" s="12"/>
      <c r="S787" s="12">
        <v>14601</v>
      </c>
      <c r="T787" s="12"/>
      <c r="U787" s="12"/>
      <c r="V787" s="12"/>
      <c r="W787" s="12"/>
      <c r="X787" s="12"/>
      <c r="Y787" s="12"/>
      <c r="Z787" s="12"/>
      <c r="AA787" s="12"/>
      <c r="AB787" s="12"/>
      <c r="AC787" s="12"/>
      <c r="AD787" s="12"/>
      <c r="AE787" s="12"/>
      <c r="AF787" s="13">
        <f>H787+I787+J787+K787+M787-N787</f>
        <v>57954</v>
      </c>
      <c r="AG787" s="13">
        <f>SUM(O787:AE787)</f>
        <v>14601</v>
      </c>
      <c r="AH787" s="13">
        <f>AF787-AG787</f>
        <v>43353</v>
      </c>
      <c r="AI787" s="12"/>
      <c r="AJ787" s="12"/>
      <c r="AK787" s="12"/>
    </row>
    <row r="788" spans="1:37">
      <c r="A788" s="10">
        <v>71</v>
      </c>
      <c r="B788" s="11">
        <v>1642</v>
      </c>
      <c r="C788" s="11" t="s">
        <v>813</v>
      </c>
      <c r="D788" s="11" t="s">
        <v>28</v>
      </c>
      <c r="E788" s="11"/>
      <c r="F788" s="11" t="s">
        <v>775</v>
      </c>
      <c r="G788" s="11" t="s">
        <v>62</v>
      </c>
      <c r="H788" s="9"/>
      <c r="I788" s="12"/>
      <c r="J788" s="12">
        <v>150</v>
      </c>
      <c r="K788" s="12">
        <v>2400</v>
      </c>
      <c r="L788" s="12">
        <v>13851</v>
      </c>
      <c r="M788" s="11">
        <f>L788*4+AI788-AJ788</f>
        <v>55404</v>
      </c>
      <c r="N788" s="13">
        <v>2770</v>
      </c>
      <c r="O788" s="12"/>
      <c r="P788" s="12"/>
      <c r="Q788" s="12"/>
      <c r="R788" s="12"/>
      <c r="S788" s="12">
        <v>55184</v>
      </c>
      <c r="T788" s="12"/>
      <c r="U788" s="12"/>
      <c r="V788" s="12"/>
      <c r="W788" s="12"/>
      <c r="X788" s="12"/>
      <c r="Y788" s="12"/>
      <c r="Z788" s="12"/>
      <c r="AA788" s="12"/>
      <c r="AB788" s="12"/>
      <c r="AC788" s="12"/>
      <c r="AD788" s="12"/>
      <c r="AE788" s="12"/>
      <c r="AF788" s="13">
        <f>H788+I788+J788+K788+M788-N788</f>
        <v>55184</v>
      </c>
      <c r="AG788" s="13">
        <f>SUM(O788:AE788)</f>
        <v>55184</v>
      </c>
      <c r="AH788" s="13">
        <f>AF788-AG788</f>
        <v>0</v>
      </c>
      <c r="AI788" s="12"/>
      <c r="AJ788" s="12"/>
      <c r="AK788" s="12"/>
    </row>
    <row r="789" spans="1:37">
      <c r="A789" s="10">
        <v>72</v>
      </c>
      <c r="B789" s="11">
        <v>750</v>
      </c>
      <c r="C789" s="10" t="s">
        <v>814</v>
      </c>
      <c r="D789" s="11" t="s">
        <v>28</v>
      </c>
      <c r="E789" s="11"/>
      <c r="F789" s="11" t="s">
        <v>775</v>
      </c>
      <c r="G789" s="11" t="s">
        <v>62</v>
      </c>
      <c r="H789" s="9"/>
      <c r="I789" s="12"/>
      <c r="J789" s="12">
        <v>150</v>
      </c>
      <c r="K789" s="12">
        <v>2400</v>
      </c>
      <c r="L789" s="12">
        <v>13851</v>
      </c>
      <c r="M789" s="11">
        <f>L789*4+AI789-AJ789</f>
        <v>55404</v>
      </c>
      <c r="N789" s="13"/>
      <c r="O789" s="12"/>
      <c r="P789" s="12"/>
      <c r="Q789" s="12"/>
      <c r="R789" s="12"/>
      <c r="S789" s="12">
        <v>14601</v>
      </c>
      <c r="T789" s="12"/>
      <c r="U789" s="12"/>
      <c r="V789" s="12">
        <v>14451</v>
      </c>
      <c r="W789" s="12"/>
      <c r="X789" s="12"/>
      <c r="Y789" s="12"/>
      <c r="Z789" s="12"/>
      <c r="AA789" s="12"/>
      <c r="AB789" s="12"/>
      <c r="AC789" s="12"/>
      <c r="AD789" s="12"/>
      <c r="AE789" s="12"/>
      <c r="AF789" s="13">
        <f>H789+I789+J789+K789+M789-N789</f>
        <v>57954</v>
      </c>
      <c r="AG789" s="13">
        <f>SUM(O789:AE789)</f>
        <v>29052</v>
      </c>
      <c r="AH789" s="13">
        <f>AF789-AG789</f>
        <v>28902</v>
      </c>
      <c r="AI789" s="12"/>
      <c r="AJ789" s="12"/>
      <c r="AK789" s="12"/>
    </row>
    <row r="790" spans="1:37">
      <c r="A790" s="10">
        <v>73</v>
      </c>
      <c r="B790" s="11">
        <v>951</v>
      </c>
      <c r="C790" s="10" t="s">
        <v>815</v>
      </c>
      <c r="D790" s="11" t="s">
        <v>23</v>
      </c>
      <c r="E790" s="11"/>
      <c r="F790" s="11" t="s">
        <v>775</v>
      </c>
      <c r="G790" s="11" t="s">
        <v>62</v>
      </c>
      <c r="H790" s="9"/>
      <c r="I790" s="12"/>
      <c r="J790" s="12">
        <v>150</v>
      </c>
      <c r="K790" s="12">
        <v>2400</v>
      </c>
      <c r="L790" s="12">
        <v>13851</v>
      </c>
      <c r="M790" s="11">
        <f>L790*4+AI790-AJ790</f>
        <v>55404</v>
      </c>
      <c r="N790" s="13"/>
      <c r="O790" s="12"/>
      <c r="P790" s="12"/>
      <c r="Q790" s="12"/>
      <c r="R790" s="12"/>
      <c r="S790" s="12">
        <v>14601</v>
      </c>
      <c r="T790" s="12"/>
      <c r="U790" s="12"/>
      <c r="V790" s="12"/>
      <c r="W790" s="12"/>
      <c r="X790" s="12"/>
      <c r="Y790" s="12"/>
      <c r="Z790" s="12"/>
      <c r="AA790" s="12"/>
      <c r="AB790" s="12"/>
      <c r="AC790" s="12"/>
      <c r="AD790" s="12"/>
      <c r="AE790" s="12"/>
      <c r="AF790" s="13">
        <f>H790+I790+J790+K790+M790-N790</f>
        <v>57954</v>
      </c>
      <c r="AG790" s="13">
        <f>SUM(O790:AE790)</f>
        <v>14601</v>
      </c>
      <c r="AH790" s="13">
        <f>AF790-AG790</f>
        <v>43353</v>
      </c>
      <c r="AI790" s="12"/>
      <c r="AJ790" s="12"/>
      <c r="AK790" s="12"/>
    </row>
    <row r="791" spans="1:37">
      <c r="A791" s="10">
        <v>74</v>
      </c>
      <c r="B791" s="22">
        <v>2240</v>
      </c>
      <c r="C791" s="21" t="s">
        <v>816</v>
      </c>
      <c r="D791" s="22" t="s">
        <v>23</v>
      </c>
      <c r="E791" s="22" t="s">
        <v>24</v>
      </c>
      <c r="F791" s="22" t="s">
        <v>775</v>
      </c>
      <c r="G791" s="22" t="s">
        <v>62</v>
      </c>
      <c r="H791" s="9">
        <v>6000</v>
      </c>
      <c r="I791" s="12">
        <v>1200</v>
      </c>
      <c r="J791" s="12">
        <v>150</v>
      </c>
      <c r="K791" s="12">
        <v>2400</v>
      </c>
      <c r="L791" s="12">
        <v>13851</v>
      </c>
      <c r="M791" s="11">
        <f>L791*4+AI791-AJ791</f>
        <v>55404</v>
      </c>
      <c r="N791" s="13"/>
      <c r="O791" s="12">
        <v>6000</v>
      </c>
      <c r="P791" s="12">
        <v>1200</v>
      </c>
      <c r="Q791" s="12"/>
      <c r="R791" s="12"/>
      <c r="S791" s="11">
        <f>13851+600+150</f>
        <v>14601</v>
      </c>
      <c r="T791" s="12"/>
      <c r="U791" s="12"/>
      <c r="V791" s="12"/>
      <c r="W791" s="12"/>
      <c r="X791" s="12"/>
      <c r="Y791" s="12"/>
      <c r="Z791" s="12"/>
      <c r="AA791" s="12"/>
      <c r="AB791" s="12"/>
      <c r="AC791" s="12"/>
      <c r="AD791" s="12"/>
      <c r="AE791" s="12"/>
      <c r="AF791" s="13">
        <f>H791+I791+J791+K791+M791-N791</f>
        <v>65154</v>
      </c>
      <c r="AG791" s="13">
        <f>SUM(O791:AE791)</f>
        <v>21801</v>
      </c>
      <c r="AH791" s="13">
        <f>AF791-AG791</f>
        <v>43353</v>
      </c>
      <c r="AI791" s="12"/>
      <c r="AJ791" s="12"/>
      <c r="AK791" s="12"/>
    </row>
    <row r="792" spans="1:37">
      <c r="A792" s="10">
        <v>75</v>
      </c>
      <c r="B792" s="10">
        <v>1743</v>
      </c>
      <c r="C792" s="11" t="s">
        <v>817</v>
      </c>
      <c r="D792" s="11" t="s">
        <v>28</v>
      </c>
      <c r="E792" s="11"/>
      <c r="F792" s="11" t="s">
        <v>775</v>
      </c>
      <c r="G792" s="11" t="s">
        <v>62</v>
      </c>
      <c r="H792" s="12"/>
      <c r="I792" s="12"/>
      <c r="J792" s="12">
        <v>150</v>
      </c>
      <c r="K792" s="12">
        <v>2400</v>
      </c>
      <c r="L792" s="12">
        <v>13851</v>
      </c>
      <c r="M792" s="11">
        <f>L792*4+AI792-AJ792</f>
        <v>55404</v>
      </c>
      <c r="N792" s="13"/>
      <c r="O792" s="12"/>
      <c r="P792" s="12"/>
      <c r="Q792" s="12"/>
      <c r="R792" s="12"/>
      <c r="S792" s="12">
        <v>14601</v>
      </c>
      <c r="T792" s="12"/>
      <c r="U792" s="12"/>
      <c r="V792" s="12"/>
      <c r="W792" s="12"/>
      <c r="X792" s="12"/>
      <c r="Y792" s="12"/>
      <c r="Z792" s="12"/>
      <c r="AA792" s="12"/>
      <c r="AB792" s="12"/>
      <c r="AC792" s="12"/>
      <c r="AD792" s="12"/>
      <c r="AE792" s="12"/>
      <c r="AF792" s="13">
        <f>H792+I792+J792+K792+M792-N792</f>
        <v>57954</v>
      </c>
      <c r="AG792" s="13">
        <f>SUM(O792:AE792)</f>
        <v>14601</v>
      </c>
      <c r="AH792" s="13">
        <f>AF792-AG792</f>
        <v>43353</v>
      </c>
      <c r="AI792" s="12"/>
      <c r="AJ792" s="12"/>
      <c r="AK792" s="12"/>
    </row>
    <row r="793" spans="1:37">
      <c r="A793" s="10">
        <v>76</v>
      </c>
      <c r="B793" s="11">
        <v>885</v>
      </c>
      <c r="C793" s="10" t="s">
        <v>818</v>
      </c>
      <c r="D793" s="11" t="s">
        <v>23</v>
      </c>
      <c r="E793" s="11"/>
      <c r="F793" s="11" t="s">
        <v>775</v>
      </c>
      <c r="G793" s="11" t="s">
        <v>62</v>
      </c>
      <c r="H793" s="9"/>
      <c r="I793" s="12"/>
      <c r="J793" s="12">
        <v>150</v>
      </c>
      <c r="K793" s="12">
        <v>2400</v>
      </c>
      <c r="L793" s="12">
        <v>13851</v>
      </c>
      <c r="M793" s="11">
        <f>L793*4+AI793-AJ793</f>
        <v>55404</v>
      </c>
      <c r="N793" s="13">
        <v>2770</v>
      </c>
      <c r="O793" s="12"/>
      <c r="P793" s="12"/>
      <c r="Q793" s="12"/>
      <c r="R793" s="12"/>
      <c r="S793" s="12">
        <v>55184</v>
      </c>
      <c r="T793" s="12"/>
      <c r="U793" s="12"/>
      <c r="V793" s="12"/>
      <c r="W793" s="12"/>
      <c r="X793" s="12"/>
      <c r="Y793" s="12"/>
      <c r="Z793" s="12"/>
      <c r="AA793" s="12"/>
      <c r="AB793" s="12"/>
      <c r="AC793" s="12"/>
      <c r="AD793" s="12"/>
      <c r="AE793" s="12"/>
      <c r="AF793" s="13">
        <f>H793+I793+J793+K793+M793-N793</f>
        <v>55184</v>
      </c>
      <c r="AG793" s="13">
        <f>SUM(O793:AE793)</f>
        <v>55184</v>
      </c>
      <c r="AH793" s="13">
        <f>AF793-AG793</f>
        <v>0</v>
      </c>
      <c r="AI793" s="12"/>
      <c r="AJ793" s="12"/>
      <c r="AK793" s="12"/>
    </row>
    <row r="794" spans="1:37">
      <c r="A794" s="10">
        <v>77</v>
      </c>
      <c r="B794" s="11">
        <v>1223</v>
      </c>
      <c r="C794" s="10" t="s">
        <v>819</v>
      </c>
      <c r="D794" s="11" t="s">
        <v>28</v>
      </c>
      <c r="E794" s="11"/>
      <c r="F794" s="11" t="s">
        <v>775</v>
      </c>
      <c r="G794" s="11" t="s">
        <v>62</v>
      </c>
      <c r="H794" s="9"/>
      <c r="I794" s="12"/>
      <c r="J794" s="12">
        <v>150</v>
      </c>
      <c r="K794" s="12">
        <v>2400</v>
      </c>
      <c r="L794" s="12">
        <v>13851</v>
      </c>
      <c r="M794" s="11">
        <f>L794*4+AI794-AJ794</f>
        <v>55404</v>
      </c>
      <c r="N794" s="13"/>
      <c r="O794" s="12"/>
      <c r="P794" s="12"/>
      <c r="Q794" s="12"/>
      <c r="R794" s="12"/>
      <c r="S794" s="12"/>
      <c r="T794" s="12"/>
      <c r="U794" s="12">
        <v>11601</v>
      </c>
      <c r="V794" s="12"/>
      <c r="W794" s="12"/>
      <c r="X794" s="12"/>
      <c r="Y794" s="12"/>
      <c r="Z794" s="12"/>
      <c r="AA794" s="12"/>
      <c r="AB794" s="12"/>
      <c r="AC794" s="12"/>
      <c r="AD794" s="12"/>
      <c r="AE794" s="12"/>
      <c r="AF794" s="13">
        <f>H794+I794+J794+K794+M794-N794</f>
        <v>57954</v>
      </c>
      <c r="AG794" s="13">
        <f>SUM(O794:AE794)</f>
        <v>11601</v>
      </c>
      <c r="AH794" s="13">
        <f>AF794-AG794</f>
        <v>46353</v>
      </c>
      <c r="AI794" s="12"/>
      <c r="AJ794" s="12"/>
      <c r="AK794" s="12"/>
    </row>
    <row r="795" spans="1:37">
      <c r="A795" s="10">
        <v>78</v>
      </c>
      <c r="B795" s="11">
        <v>1913</v>
      </c>
      <c r="C795" s="10" t="s">
        <v>820</v>
      </c>
      <c r="D795" s="11" t="s">
        <v>28</v>
      </c>
      <c r="E795" s="11"/>
      <c r="F795" s="11" t="s">
        <v>775</v>
      </c>
      <c r="G795" s="11" t="s">
        <v>62</v>
      </c>
      <c r="H795" s="9"/>
      <c r="I795" s="12"/>
      <c r="J795" s="12">
        <v>150</v>
      </c>
      <c r="K795" s="12">
        <v>2400</v>
      </c>
      <c r="L795" s="12">
        <v>13851</v>
      </c>
      <c r="M795" s="11">
        <f>L795*4+AI795-AJ795</f>
        <v>55404</v>
      </c>
      <c r="N795" s="13"/>
      <c r="O795" s="12"/>
      <c r="P795" s="12"/>
      <c r="Q795" s="12"/>
      <c r="R795" s="12"/>
      <c r="S795" s="12"/>
      <c r="T795" s="12">
        <v>14601</v>
      </c>
      <c r="U795" s="12"/>
      <c r="V795" s="12"/>
      <c r="W795" s="12"/>
      <c r="X795" s="12"/>
      <c r="Y795" s="12"/>
      <c r="Z795" s="12"/>
      <c r="AA795" s="12"/>
      <c r="AB795" s="12"/>
      <c r="AC795" s="12"/>
      <c r="AD795" s="12"/>
      <c r="AE795" s="12"/>
      <c r="AF795" s="13">
        <f>H795+I795+J795+K795+M795-N795</f>
        <v>57954</v>
      </c>
      <c r="AG795" s="13">
        <f>SUM(O795:AE795)</f>
        <v>14601</v>
      </c>
      <c r="AH795" s="13">
        <f>AF795-AG795</f>
        <v>43353</v>
      </c>
      <c r="AI795" s="12"/>
      <c r="AJ795" s="12"/>
      <c r="AK795" s="12"/>
    </row>
    <row r="796" spans="1:37">
      <c r="A796" s="10">
        <v>79</v>
      </c>
      <c r="B796" s="11">
        <v>752</v>
      </c>
      <c r="C796" s="10" t="s">
        <v>745</v>
      </c>
      <c r="D796" s="11" t="s">
        <v>28</v>
      </c>
      <c r="E796" s="11"/>
      <c r="F796" s="11" t="s">
        <v>775</v>
      </c>
      <c r="G796" s="11" t="s">
        <v>62</v>
      </c>
      <c r="H796" s="16"/>
      <c r="I796" s="12"/>
      <c r="J796" s="12">
        <v>150</v>
      </c>
      <c r="K796" s="12">
        <v>2400</v>
      </c>
      <c r="L796" s="12">
        <v>13851</v>
      </c>
      <c r="M796" s="11">
        <f>L796*4+AI796-AJ796</f>
        <v>55412</v>
      </c>
      <c r="N796" s="13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  <c r="AA796" s="12"/>
      <c r="AB796" s="12"/>
      <c r="AC796" s="12"/>
      <c r="AD796" s="12"/>
      <c r="AE796" s="12"/>
      <c r="AF796" s="13">
        <f>H796+I796+J796+K796+M796-N796</f>
        <v>57962</v>
      </c>
      <c r="AG796" s="13">
        <f>SUM(O796:AE796)</f>
        <v>0</v>
      </c>
      <c r="AH796" s="13">
        <f>AF796-AG796</f>
        <v>57962</v>
      </c>
      <c r="AI796" s="12">
        <v>8</v>
      </c>
      <c r="AJ796" s="12"/>
      <c r="AK796" s="12"/>
    </row>
    <row r="797" spans="1:37">
      <c r="A797" s="10">
        <v>80</v>
      </c>
      <c r="B797" s="11">
        <v>767</v>
      </c>
      <c r="C797" s="10" t="s">
        <v>821</v>
      </c>
      <c r="D797" s="11" t="s">
        <v>28</v>
      </c>
      <c r="E797" s="11"/>
      <c r="F797" s="11" t="s">
        <v>775</v>
      </c>
      <c r="G797" s="11" t="s">
        <v>62</v>
      </c>
      <c r="H797" s="9"/>
      <c r="I797" s="12"/>
      <c r="J797" s="12">
        <v>150</v>
      </c>
      <c r="K797" s="12">
        <v>2400</v>
      </c>
      <c r="L797" s="12">
        <v>13851</v>
      </c>
      <c r="M797" s="11">
        <f>L797*4+AI797-AJ797</f>
        <v>55404</v>
      </c>
      <c r="N797" s="13"/>
      <c r="O797" s="12"/>
      <c r="P797" s="12"/>
      <c r="Q797" s="12"/>
      <c r="R797" s="12"/>
      <c r="S797" s="12"/>
      <c r="T797" s="12">
        <v>14601</v>
      </c>
      <c r="U797" s="12"/>
      <c r="V797" s="12"/>
      <c r="W797" s="12"/>
      <c r="X797" s="12"/>
      <c r="Y797" s="12"/>
      <c r="Z797" s="12"/>
      <c r="AA797" s="12"/>
      <c r="AB797" s="12"/>
      <c r="AC797" s="12"/>
      <c r="AD797" s="12"/>
      <c r="AE797" s="12"/>
      <c r="AF797" s="13">
        <f>H797+I797+J797+K797+M797-N797</f>
        <v>57954</v>
      </c>
      <c r="AG797" s="13">
        <f>SUM(O797:AE797)</f>
        <v>14601</v>
      </c>
      <c r="AH797" s="13">
        <f>AF797-AG797</f>
        <v>43353</v>
      </c>
      <c r="AI797" s="12"/>
      <c r="AJ797" s="12"/>
      <c r="AK797" s="12"/>
    </row>
    <row r="798" spans="1:37">
      <c r="A798" s="10">
        <v>81</v>
      </c>
      <c r="B798" s="11">
        <v>836</v>
      </c>
      <c r="C798" s="10" t="s">
        <v>822</v>
      </c>
      <c r="D798" s="11" t="s">
        <v>23</v>
      </c>
      <c r="E798" s="11"/>
      <c r="F798" s="11" t="s">
        <v>775</v>
      </c>
      <c r="G798" s="11" t="s">
        <v>62</v>
      </c>
      <c r="H798" s="9"/>
      <c r="I798" s="12"/>
      <c r="J798" s="12">
        <v>150</v>
      </c>
      <c r="K798" s="12">
        <v>2400</v>
      </c>
      <c r="L798" s="12">
        <v>13851</v>
      </c>
      <c r="M798" s="11">
        <f>L798*4+AI798-AJ798</f>
        <v>55404</v>
      </c>
      <c r="N798" s="13"/>
      <c r="O798" s="12"/>
      <c r="P798" s="12"/>
      <c r="Q798" s="12"/>
      <c r="R798" s="12"/>
      <c r="S798" s="12"/>
      <c r="T798" s="12"/>
      <c r="U798" s="12"/>
      <c r="V798" s="12">
        <v>14451</v>
      </c>
      <c r="W798" s="12"/>
      <c r="X798" s="12"/>
      <c r="Y798" s="12"/>
      <c r="Z798" s="12"/>
      <c r="AA798" s="12"/>
      <c r="AB798" s="12"/>
      <c r="AC798" s="12"/>
      <c r="AD798" s="12"/>
      <c r="AE798" s="12"/>
      <c r="AF798" s="13">
        <f>H798+I798+J798+K798+M798-N798</f>
        <v>57954</v>
      </c>
      <c r="AG798" s="13">
        <f>SUM(O798:AE798)</f>
        <v>14451</v>
      </c>
      <c r="AH798" s="13">
        <f>AF798-AG798</f>
        <v>43503</v>
      </c>
      <c r="AI798" s="12"/>
      <c r="AJ798" s="12"/>
      <c r="AK798" s="12"/>
    </row>
    <row r="799" spans="1:37">
      <c r="A799" s="10">
        <v>82</v>
      </c>
      <c r="B799" s="11">
        <v>1380</v>
      </c>
      <c r="C799" s="10" t="s">
        <v>823</v>
      </c>
      <c r="D799" s="11" t="s">
        <v>23</v>
      </c>
      <c r="E799" s="11"/>
      <c r="F799" s="10" t="s">
        <v>824</v>
      </c>
      <c r="G799" s="11" t="s">
        <v>26</v>
      </c>
      <c r="H799" s="9"/>
      <c r="I799" s="12"/>
      <c r="J799" s="12">
        <v>150</v>
      </c>
      <c r="K799" s="12"/>
      <c r="L799" s="12">
        <v>13851</v>
      </c>
      <c r="M799" s="11">
        <f>L799*4+AI799-AJ799</f>
        <v>55404</v>
      </c>
      <c r="N799" s="13"/>
      <c r="O799" s="12"/>
      <c r="P799" s="12"/>
      <c r="Q799" s="12"/>
      <c r="R799" s="12"/>
      <c r="S799" s="12"/>
      <c r="T799" s="12"/>
      <c r="U799" s="12">
        <v>14001</v>
      </c>
      <c r="V799" s="12"/>
      <c r="W799" s="12"/>
      <c r="X799" s="12"/>
      <c r="Y799" s="12"/>
      <c r="Z799" s="12"/>
      <c r="AA799" s="12"/>
      <c r="AB799" s="12"/>
      <c r="AC799" s="12"/>
      <c r="AD799" s="12"/>
      <c r="AE799" s="12"/>
      <c r="AF799" s="13">
        <f>H799+I799+J799+K799+M799-N799</f>
        <v>55554</v>
      </c>
      <c r="AG799" s="13">
        <f>SUM(O799:AE799)</f>
        <v>14001</v>
      </c>
      <c r="AH799" s="13">
        <f>AF799-AG799</f>
        <v>41553</v>
      </c>
      <c r="AI799" s="12"/>
      <c r="AJ799" s="12"/>
      <c r="AK799" s="12"/>
    </row>
    <row r="800" spans="1:37">
      <c r="A800" s="10">
        <v>83</v>
      </c>
      <c r="B800" s="11">
        <v>1175</v>
      </c>
      <c r="C800" s="10" t="s">
        <v>825</v>
      </c>
      <c r="D800" s="11" t="s">
        <v>23</v>
      </c>
      <c r="E800" s="11"/>
      <c r="F800" s="10" t="s">
        <v>824</v>
      </c>
      <c r="G800" s="11" t="s">
        <v>26</v>
      </c>
      <c r="H800" s="9"/>
      <c r="I800" s="12"/>
      <c r="J800" s="12">
        <v>150</v>
      </c>
      <c r="K800" s="12"/>
      <c r="L800" s="12">
        <v>13851</v>
      </c>
      <c r="M800" s="11">
        <f>L800*4+AI800-AJ800</f>
        <v>55404</v>
      </c>
      <c r="N800" s="13"/>
      <c r="O800" s="12"/>
      <c r="P800" s="12"/>
      <c r="Q800" s="12"/>
      <c r="R800" s="12"/>
      <c r="S800" s="12">
        <v>14001</v>
      </c>
      <c r="T800" s="12"/>
      <c r="U800" s="12"/>
      <c r="V800" s="12">
        <v>13851</v>
      </c>
      <c r="W800" s="12"/>
      <c r="X800" s="12"/>
      <c r="Y800" s="12"/>
      <c r="Z800" s="12"/>
      <c r="AA800" s="12"/>
      <c r="AB800" s="12"/>
      <c r="AC800" s="12"/>
      <c r="AD800" s="12"/>
      <c r="AE800" s="12"/>
      <c r="AF800" s="13">
        <f>H800+I800+J800+K800+M800-N800</f>
        <v>55554</v>
      </c>
      <c r="AG800" s="13">
        <f>SUM(O800:AE800)</f>
        <v>27852</v>
      </c>
      <c r="AH800" s="13">
        <f>AF800-AG800</f>
        <v>27702</v>
      </c>
      <c r="AI800" s="12"/>
      <c r="AJ800" s="12"/>
      <c r="AK800" s="12"/>
    </row>
    <row r="801" spans="1:37">
      <c r="A801" s="10">
        <v>84</v>
      </c>
      <c r="B801" s="11">
        <v>683</v>
      </c>
      <c r="C801" s="10" t="s">
        <v>826</v>
      </c>
      <c r="D801" s="11" t="s">
        <v>23</v>
      </c>
      <c r="E801" s="11"/>
      <c r="F801" s="10" t="s">
        <v>824</v>
      </c>
      <c r="G801" s="11" t="s">
        <v>26</v>
      </c>
      <c r="H801" s="9"/>
      <c r="I801" s="12"/>
      <c r="J801" s="12">
        <v>150</v>
      </c>
      <c r="K801" s="12"/>
      <c r="L801" s="12">
        <v>13851</v>
      </c>
      <c r="M801" s="11">
        <f>L801*4+AI801-AJ801</f>
        <v>55404</v>
      </c>
      <c r="N801" s="13"/>
      <c r="O801" s="12"/>
      <c r="P801" s="12"/>
      <c r="Q801" s="12"/>
      <c r="R801" s="12"/>
      <c r="S801" s="12"/>
      <c r="T801" s="12"/>
      <c r="U801" s="12"/>
      <c r="V801" s="12">
        <v>14001</v>
      </c>
      <c r="W801" s="12"/>
      <c r="X801" s="12"/>
      <c r="Y801" s="12"/>
      <c r="Z801" s="12"/>
      <c r="AA801" s="12"/>
      <c r="AB801" s="12"/>
      <c r="AC801" s="12"/>
      <c r="AD801" s="12"/>
      <c r="AE801" s="12"/>
      <c r="AF801" s="13">
        <f>H801+I801+J801+K801+M801-N801</f>
        <v>55554</v>
      </c>
      <c r="AG801" s="13">
        <f>SUM(O801:AE801)</f>
        <v>14001</v>
      </c>
      <c r="AH801" s="13">
        <f>AF801-AG801</f>
        <v>41553</v>
      </c>
      <c r="AI801" s="12"/>
      <c r="AJ801" s="12"/>
      <c r="AK801" s="12"/>
    </row>
    <row r="802" spans="1:37">
      <c r="A802" s="10">
        <v>85</v>
      </c>
      <c r="B802" s="16">
        <v>2054</v>
      </c>
      <c r="C802" s="12" t="s">
        <v>827</v>
      </c>
      <c r="D802" s="16" t="s">
        <v>23</v>
      </c>
      <c r="E802" s="16"/>
      <c r="F802" s="10" t="s">
        <v>824</v>
      </c>
      <c r="G802" s="12" t="s">
        <v>26</v>
      </c>
      <c r="H802" s="9"/>
      <c r="I802" s="12"/>
      <c r="J802" s="12">
        <v>150</v>
      </c>
      <c r="K802" s="12"/>
      <c r="L802" s="12">
        <v>13851</v>
      </c>
      <c r="M802" s="11">
        <f>L802*4+AI802-AJ802</f>
        <v>55404</v>
      </c>
      <c r="N802" s="13">
        <v>2770</v>
      </c>
      <c r="O802" s="9"/>
      <c r="P802" s="12"/>
      <c r="Q802" s="12"/>
      <c r="R802" s="12"/>
      <c r="S802" s="12">
        <v>52784</v>
      </c>
      <c r="T802" s="12"/>
      <c r="U802" s="12"/>
      <c r="V802" s="12"/>
      <c r="W802" s="12"/>
      <c r="X802" s="12"/>
      <c r="Y802" s="12"/>
      <c r="Z802" s="12"/>
      <c r="AA802" s="12"/>
      <c r="AB802" s="12"/>
      <c r="AC802" s="12"/>
      <c r="AD802" s="12"/>
      <c r="AE802" s="12"/>
      <c r="AF802" s="13">
        <f>H802+I802+J802+K802+M802-N802</f>
        <v>52784</v>
      </c>
      <c r="AG802" s="13">
        <f>SUM(O802:AE802)</f>
        <v>52784</v>
      </c>
      <c r="AH802" s="13">
        <f>AF802-AG802</f>
        <v>0</v>
      </c>
      <c r="AI802" s="12"/>
      <c r="AJ802" s="12"/>
      <c r="AK802" s="12"/>
    </row>
    <row r="803" spans="1:37">
      <c r="A803" s="10">
        <v>86</v>
      </c>
      <c r="B803" s="11">
        <v>688</v>
      </c>
      <c r="C803" s="10" t="s">
        <v>828</v>
      </c>
      <c r="D803" s="11" t="s">
        <v>28</v>
      </c>
      <c r="E803" s="11"/>
      <c r="F803" s="10" t="s">
        <v>824</v>
      </c>
      <c r="G803" s="11" t="s">
        <v>26</v>
      </c>
      <c r="H803" s="9"/>
      <c r="I803" s="12"/>
      <c r="J803" s="12">
        <v>150</v>
      </c>
      <c r="K803" s="12"/>
      <c r="L803" s="12">
        <v>13851</v>
      </c>
      <c r="M803" s="11">
        <f>L803*4+AI803-AJ803</f>
        <v>55404</v>
      </c>
      <c r="N803" s="13"/>
      <c r="O803" s="12"/>
      <c r="P803" s="12"/>
      <c r="Q803" s="12"/>
      <c r="R803" s="12"/>
      <c r="S803" s="12"/>
      <c r="T803" s="11">
        <f>2000+12001</f>
        <v>14001</v>
      </c>
      <c r="U803" s="12"/>
      <c r="V803" s="12"/>
      <c r="W803" s="12"/>
      <c r="X803" s="12"/>
      <c r="Y803" s="12"/>
      <c r="Z803" s="12"/>
      <c r="AA803" s="12"/>
      <c r="AB803" s="12"/>
      <c r="AC803" s="12"/>
      <c r="AD803" s="12"/>
      <c r="AE803" s="12"/>
      <c r="AF803" s="13">
        <f>H803+I803+J803+K803+M803-N803</f>
        <v>55554</v>
      </c>
      <c r="AG803" s="13">
        <f>SUM(O803:AE803)</f>
        <v>14001</v>
      </c>
      <c r="AH803" s="13">
        <f>AF803-AG803</f>
        <v>41553</v>
      </c>
      <c r="AI803" s="12"/>
      <c r="AJ803" s="12"/>
      <c r="AK803" s="12"/>
    </row>
    <row r="804" spans="1:37">
      <c r="A804" s="10">
        <v>87</v>
      </c>
      <c r="B804" s="11">
        <v>1891</v>
      </c>
      <c r="C804" s="10" t="s">
        <v>829</v>
      </c>
      <c r="D804" s="11" t="s">
        <v>23</v>
      </c>
      <c r="E804" s="11"/>
      <c r="F804" s="10" t="s">
        <v>824</v>
      </c>
      <c r="G804" s="11" t="s">
        <v>26</v>
      </c>
      <c r="H804" s="9"/>
      <c r="I804" s="12"/>
      <c r="J804" s="12">
        <v>150</v>
      </c>
      <c r="K804" s="12"/>
      <c r="L804" s="12">
        <v>13851</v>
      </c>
      <c r="M804" s="11">
        <f>L804*4+AI804-AJ804</f>
        <v>55404</v>
      </c>
      <c r="N804" s="13">
        <v>2770</v>
      </c>
      <c r="O804" s="12"/>
      <c r="P804" s="12"/>
      <c r="Q804" s="12"/>
      <c r="R804" s="12"/>
      <c r="S804" s="12"/>
      <c r="T804" s="12">
        <v>52784</v>
      </c>
      <c r="U804" s="12"/>
      <c r="V804" s="12"/>
      <c r="W804" s="12"/>
      <c r="X804" s="12"/>
      <c r="Y804" s="12"/>
      <c r="Z804" s="12"/>
      <c r="AA804" s="12"/>
      <c r="AB804" s="12"/>
      <c r="AC804" s="12"/>
      <c r="AD804" s="12"/>
      <c r="AE804" s="12"/>
      <c r="AF804" s="13">
        <f>H804+I804+J804+K804+M804-N804</f>
        <v>52784</v>
      </c>
      <c r="AG804" s="13">
        <f>SUM(O804:AE804)</f>
        <v>52784</v>
      </c>
      <c r="AH804" s="13">
        <f>AF804-AG804</f>
        <v>0</v>
      </c>
      <c r="AI804" s="12"/>
      <c r="AJ804" s="12"/>
      <c r="AK804" s="12"/>
    </row>
    <row r="805" spans="1:37">
      <c r="A805" s="10">
        <v>88</v>
      </c>
      <c r="B805" s="11">
        <v>691</v>
      </c>
      <c r="C805" s="10" t="s">
        <v>830</v>
      </c>
      <c r="D805" s="11" t="s">
        <v>28</v>
      </c>
      <c r="E805" s="11"/>
      <c r="F805" s="10" t="s">
        <v>824</v>
      </c>
      <c r="G805" s="11" t="s">
        <v>26</v>
      </c>
      <c r="H805" s="9"/>
      <c r="I805" s="12"/>
      <c r="J805" s="12">
        <v>150</v>
      </c>
      <c r="K805" s="12"/>
      <c r="L805" s="12">
        <v>13851</v>
      </c>
      <c r="M805" s="11">
        <f>L805*4+AI805-AJ805</f>
        <v>55404</v>
      </c>
      <c r="N805" s="13"/>
      <c r="O805" s="12"/>
      <c r="P805" s="12"/>
      <c r="Q805" s="12"/>
      <c r="R805" s="12"/>
      <c r="S805" s="12">
        <v>14001</v>
      </c>
      <c r="T805" s="12"/>
      <c r="U805" s="12"/>
      <c r="V805" s="12"/>
      <c r="W805" s="12"/>
      <c r="X805" s="12"/>
      <c r="Y805" s="12"/>
      <c r="Z805" s="12"/>
      <c r="AA805" s="12"/>
      <c r="AB805" s="12"/>
      <c r="AC805" s="12"/>
      <c r="AD805" s="12"/>
      <c r="AE805" s="12"/>
      <c r="AF805" s="13">
        <f>H805+I805+J805+K805+M805-N805</f>
        <v>55554</v>
      </c>
      <c r="AG805" s="13">
        <f>SUM(O805:AE805)</f>
        <v>14001</v>
      </c>
      <c r="AH805" s="13">
        <f>AF805-AG805</f>
        <v>41553</v>
      </c>
      <c r="AI805" s="12"/>
      <c r="AJ805" s="12"/>
      <c r="AK805" s="12"/>
    </row>
    <row r="806" spans="1:37">
      <c r="A806" s="10">
        <v>89</v>
      </c>
      <c r="B806" s="11">
        <v>1060</v>
      </c>
      <c r="C806" s="10" t="s">
        <v>831</v>
      </c>
      <c r="D806" s="11" t="s">
        <v>23</v>
      </c>
      <c r="E806" s="11"/>
      <c r="F806" s="10" t="s">
        <v>824</v>
      </c>
      <c r="G806" s="11" t="s">
        <v>26</v>
      </c>
      <c r="H806" s="9"/>
      <c r="I806" s="12"/>
      <c r="J806" s="12">
        <v>150</v>
      </c>
      <c r="K806" s="12"/>
      <c r="L806" s="12">
        <v>13851</v>
      </c>
      <c r="M806" s="11">
        <f>L806*4+AI806-AJ806</f>
        <v>55404</v>
      </c>
      <c r="N806" s="13"/>
      <c r="O806" s="12"/>
      <c r="P806" s="12"/>
      <c r="Q806" s="12"/>
      <c r="R806" s="12"/>
      <c r="S806" s="12">
        <v>14001</v>
      </c>
      <c r="T806" s="12"/>
      <c r="U806" s="12"/>
      <c r="V806" s="12">
        <v>13851</v>
      </c>
      <c r="W806" s="12"/>
      <c r="X806" s="12"/>
      <c r="Y806" s="12"/>
      <c r="Z806" s="12"/>
      <c r="AA806" s="12"/>
      <c r="AB806" s="12"/>
      <c r="AC806" s="12"/>
      <c r="AD806" s="12"/>
      <c r="AE806" s="12"/>
      <c r="AF806" s="13">
        <f>H806+I806+J806+K806+M806-N806</f>
        <v>55554</v>
      </c>
      <c r="AG806" s="13">
        <f>SUM(O806:AE806)</f>
        <v>27852</v>
      </c>
      <c r="AH806" s="13">
        <f>AF806-AG806</f>
        <v>27702</v>
      </c>
      <c r="AI806" s="12"/>
      <c r="AJ806" s="12"/>
      <c r="AK806" s="12"/>
    </row>
    <row r="807" spans="1:37">
      <c r="A807" s="10">
        <v>90</v>
      </c>
      <c r="B807" s="11">
        <v>1211</v>
      </c>
      <c r="C807" s="10" t="s">
        <v>832</v>
      </c>
      <c r="D807" s="11" t="s">
        <v>23</v>
      </c>
      <c r="E807" s="11"/>
      <c r="F807" s="10" t="s">
        <v>824</v>
      </c>
      <c r="G807" s="11" t="s">
        <v>26</v>
      </c>
      <c r="H807" s="9"/>
      <c r="I807" s="12"/>
      <c r="J807" s="12">
        <v>150</v>
      </c>
      <c r="K807" s="12"/>
      <c r="L807" s="12">
        <v>13851</v>
      </c>
      <c r="M807" s="11">
        <f>L807*4+AI807-AJ807</f>
        <v>55404</v>
      </c>
      <c r="N807" s="13"/>
      <c r="O807" s="12"/>
      <c r="P807" s="12"/>
      <c r="Q807" s="12"/>
      <c r="R807" s="12"/>
      <c r="S807" s="12"/>
      <c r="T807" s="12"/>
      <c r="U807" s="12">
        <v>14001</v>
      </c>
      <c r="V807" s="12"/>
      <c r="W807" s="12"/>
      <c r="X807" s="12"/>
      <c r="Y807" s="12"/>
      <c r="Z807" s="12"/>
      <c r="AA807" s="12"/>
      <c r="AB807" s="12"/>
      <c r="AC807" s="12"/>
      <c r="AD807" s="12"/>
      <c r="AE807" s="12"/>
      <c r="AF807" s="13">
        <f>H807+I807+J807+K807+M807-N807</f>
        <v>55554</v>
      </c>
      <c r="AG807" s="13">
        <f>SUM(O807:AE807)</f>
        <v>14001</v>
      </c>
      <c r="AH807" s="13">
        <f>AF807-AG807</f>
        <v>41553</v>
      </c>
      <c r="AI807" s="12"/>
      <c r="AJ807" s="12"/>
      <c r="AK807" s="12"/>
    </row>
    <row r="808" spans="1:37">
      <c r="A808" s="10">
        <v>91</v>
      </c>
      <c r="B808" s="11">
        <v>695</v>
      </c>
      <c r="C808" s="10" t="s">
        <v>833</v>
      </c>
      <c r="D808" s="11" t="s">
        <v>23</v>
      </c>
      <c r="E808" s="11"/>
      <c r="F808" s="10" t="s">
        <v>824</v>
      </c>
      <c r="G808" s="11" t="s">
        <v>26</v>
      </c>
      <c r="H808" s="9"/>
      <c r="I808" s="12"/>
      <c r="J808" s="12">
        <v>150</v>
      </c>
      <c r="K808" s="12"/>
      <c r="L808" s="12">
        <v>13851</v>
      </c>
      <c r="M808" s="11">
        <f>L808*4+AI808-AJ808</f>
        <v>55404</v>
      </c>
      <c r="N808" s="13">
        <v>2770</v>
      </c>
      <c r="O808" s="12"/>
      <c r="P808" s="12"/>
      <c r="Q808" s="12"/>
      <c r="R808" s="12"/>
      <c r="S808" s="12"/>
      <c r="T808" s="12">
        <v>52784</v>
      </c>
      <c r="U808" s="12"/>
      <c r="V808" s="12"/>
      <c r="W808" s="12"/>
      <c r="X808" s="12"/>
      <c r="Y808" s="12"/>
      <c r="Z808" s="12"/>
      <c r="AA808" s="12"/>
      <c r="AB808" s="12"/>
      <c r="AC808" s="12"/>
      <c r="AD808" s="12"/>
      <c r="AE808" s="12"/>
      <c r="AF808" s="13">
        <f>H808+I808+J808+K808+M808-N808</f>
        <v>52784</v>
      </c>
      <c r="AG808" s="13">
        <f>SUM(O808:AE808)</f>
        <v>52784</v>
      </c>
      <c r="AH808" s="13">
        <f>AF808-AG808</f>
        <v>0</v>
      </c>
      <c r="AI808" s="12"/>
      <c r="AJ808" s="12"/>
      <c r="AK808" s="12"/>
    </row>
    <row r="809" spans="1:37">
      <c r="A809" s="10">
        <v>92</v>
      </c>
      <c r="B809" s="11">
        <v>1536</v>
      </c>
      <c r="C809" s="10" t="s">
        <v>834</v>
      </c>
      <c r="D809" s="11" t="s">
        <v>28</v>
      </c>
      <c r="E809" s="11"/>
      <c r="F809" s="10" t="s">
        <v>824</v>
      </c>
      <c r="G809" s="11" t="s">
        <v>26</v>
      </c>
      <c r="H809" s="9"/>
      <c r="I809" s="12"/>
      <c r="J809" s="12">
        <v>150</v>
      </c>
      <c r="K809" s="12"/>
      <c r="L809" s="12">
        <v>13851</v>
      </c>
      <c r="M809" s="11">
        <f>L809*4+AI809-AJ809</f>
        <v>55404</v>
      </c>
      <c r="N809" s="13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  <c r="AA809" s="12"/>
      <c r="AB809" s="12"/>
      <c r="AC809" s="12"/>
      <c r="AD809" s="12"/>
      <c r="AE809" s="12"/>
      <c r="AF809" s="13">
        <f>H809+I809+J809+K809+M809-N809</f>
        <v>55554</v>
      </c>
      <c r="AG809" s="13">
        <f>SUM(O809:AE809)</f>
        <v>0</v>
      </c>
      <c r="AH809" s="13">
        <f>AF809-AG809</f>
        <v>55554</v>
      </c>
      <c r="AI809" s="12"/>
      <c r="AJ809" s="12"/>
      <c r="AK809" s="12"/>
    </row>
    <row r="810" spans="1:37">
      <c r="A810" s="10">
        <v>93</v>
      </c>
      <c r="B810" s="37">
        <v>874</v>
      </c>
      <c r="C810" s="32" t="s">
        <v>835</v>
      </c>
      <c r="D810" s="37" t="s">
        <v>23</v>
      </c>
      <c r="E810" s="37"/>
      <c r="F810" s="32" t="s">
        <v>824</v>
      </c>
      <c r="G810" s="37" t="s">
        <v>26</v>
      </c>
      <c r="H810" s="9"/>
      <c r="I810" s="12"/>
      <c r="J810" s="12">
        <v>150</v>
      </c>
      <c r="K810" s="12"/>
      <c r="L810" s="12">
        <v>0</v>
      </c>
      <c r="M810" s="11">
        <f>L810*4+AI810-AJ810</f>
        <v>0</v>
      </c>
      <c r="N810" s="13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  <c r="AA810" s="12"/>
      <c r="AB810" s="12"/>
      <c r="AC810" s="12"/>
      <c r="AD810" s="12"/>
      <c r="AE810" s="12"/>
      <c r="AF810" s="13">
        <f>H810+I810+J810+K810+M810-N810</f>
        <v>150</v>
      </c>
      <c r="AG810" s="13">
        <f>SUM(O810:AE810)</f>
        <v>0</v>
      </c>
      <c r="AH810" s="13">
        <f>AF810-AG810</f>
        <v>150</v>
      </c>
      <c r="AI810" s="12"/>
      <c r="AJ810" s="12"/>
      <c r="AK810" s="12"/>
    </row>
    <row r="811" spans="1:37">
      <c r="A811" s="10">
        <v>94</v>
      </c>
      <c r="B811" s="11">
        <v>1324</v>
      </c>
      <c r="C811" s="10" t="s">
        <v>836</v>
      </c>
      <c r="D811" s="11" t="s">
        <v>28</v>
      </c>
      <c r="E811" s="11"/>
      <c r="F811" s="10" t="s">
        <v>824</v>
      </c>
      <c r="G811" s="11" t="s">
        <v>26</v>
      </c>
      <c r="H811" s="9"/>
      <c r="I811" s="12"/>
      <c r="J811" s="12">
        <v>150</v>
      </c>
      <c r="K811" s="12"/>
      <c r="L811" s="12">
        <v>13851</v>
      </c>
      <c r="M811" s="11">
        <f>L811*4+AI811-AJ811</f>
        <v>55404</v>
      </c>
      <c r="N811" s="13"/>
      <c r="O811" s="12"/>
      <c r="P811" s="12"/>
      <c r="Q811" s="12"/>
      <c r="R811" s="12"/>
      <c r="S811" s="12"/>
      <c r="T811" s="12"/>
      <c r="U811" s="12">
        <v>14001</v>
      </c>
      <c r="V811" s="12"/>
      <c r="W811" s="12"/>
      <c r="X811" s="12"/>
      <c r="Y811" s="12"/>
      <c r="Z811" s="12"/>
      <c r="AA811" s="12"/>
      <c r="AB811" s="12"/>
      <c r="AC811" s="12"/>
      <c r="AD811" s="12"/>
      <c r="AE811" s="12"/>
      <c r="AF811" s="13">
        <f>H811+I811+J811+K811+M811-N811</f>
        <v>55554</v>
      </c>
      <c r="AG811" s="13">
        <f>SUM(O811:AE811)</f>
        <v>14001</v>
      </c>
      <c r="AH811" s="13">
        <f>AF811-AG811</f>
        <v>41553</v>
      </c>
      <c r="AI811" s="12"/>
      <c r="AJ811" s="12"/>
      <c r="AK811" s="12"/>
    </row>
    <row r="812" spans="1:37">
      <c r="A812" s="10">
        <v>95</v>
      </c>
      <c r="B812" s="11">
        <v>685</v>
      </c>
      <c r="C812" s="10" t="s">
        <v>837</v>
      </c>
      <c r="D812" s="11" t="s">
        <v>28</v>
      </c>
      <c r="E812" s="11"/>
      <c r="F812" s="10" t="s">
        <v>824</v>
      </c>
      <c r="G812" s="11" t="s">
        <v>26</v>
      </c>
      <c r="H812" s="9"/>
      <c r="I812" s="12"/>
      <c r="J812" s="12">
        <v>150</v>
      </c>
      <c r="K812" s="12"/>
      <c r="L812" s="12">
        <v>13851</v>
      </c>
      <c r="M812" s="11">
        <f>L812*4+AI812-AJ812</f>
        <v>55404</v>
      </c>
      <c r="N812" s="13"/>
      <c r="O812" s="12"/>
      <c r="P812" s="12"/>
      <c r="Q812" s="12"/>
      <c r="R812" s="12"/>
      <c r="S812" s="12"/>
      <c r="T812" s="12"/>
      <c r="U812" s="12">
        <v>14001</v>
      </c>
      <c r="V812" s="12"/>
      <c r="W812" s="12"/>
      <c r="X812" s="12"/>
      <c r="Y812" s="12"/>
      <c r="Z812" s="12"/>
      <c r="AA812" s="12"/>
      <c r="AB812" s="12"/>
      <c r="AC812" s="12"/>
      <c r="AD812" s="12"/>
      <c r="AE812" s="12"/>
      <c r="AF812" s="13">
        <f>H812+I812+J812+K812+M812-N812</f>
        <v>55554</v>
      </c>
      <c r="AG812" s="13">
        <f>SUM(O812:AE812)</f>
        <v>14001</v>
      </c>
      <c r="AH812" s="13">
        <f>AF812-AG812</f>
        <v>41553</v>
      </c>
      <c r="AI812" s="12"/>
      <c r="AJ812" s="12"/>
      <c r="AK812" s="12"/>
    </row>
    <row r="813" spans="1:37">
      <c r="A813" s="10">
        <v>96</v>
      </c>
      <c r="B813" s="11">
        <v>764</v>
      </c>
      <c r="C813" s="10" t="s">
        <v>838</v>
      </c>
      <c r="D813" s="11" t="s">
        <v>23</v>
      </c>
      <c r="E813" s="11"/>
      <c r="F813" s="10" t="s">
        <v>824</v>
      </c>
      <c r="G813" s="11" t="s">
        <v>26</v>
      </c>
      <c r="H813" s="9"/>
      <c r="I813" s="12"/>
      <c r="J813" s="12">
        <v>150</v>
      </c>
      <c r="K813" s="12"/>
      <c r="L813" s="12">
        <v>13851</v>
      </c>
      <c r="M813" s="11">
        <f>L813*4+AI813-AJ813</f>
        <v>55404</v>
      </c>
      <c r="N813" s="13"/>
      <c r="O813" s="12"/>
      <c r="P813" s="12"/>
      <c r="Q813" s="12"/>
      <c r="R813" s="12"/>
      <c r="S813" s="12"/>
      <c r="T813" s="12"/>
      <c r="U813" s="12"/>
      <c r="V813" s="12">
        <v>13851</v>
      </c>
      <c r="W813" s="12"/>
      <c r="X813" s="12"/>
      <c r="Y813" s="12"/>
      <c r="Z813" s="12"/>
      <c r="AA813" s="12"/>
      <c r="AB813" s="12"/>
      <c r="AC813" s="12"/>
      <c r="AD813" s="12"/>
      <c r="AE813" s="12"/>
      <c r="AF813" s="13">
        <f>H813+I813+J813+K813+M813-N813</f>
        <v>55554</v>
      </c>
      <c r="AG813" s="13">
        <f>SUM(O813:AE813)</f>
        <v>13851</v>
      </c>
      <c r="AH813" s="13">
        <f>AF813-AG813</f>
        <v>41703</v>
      </c>
      <c r="AI813" s="12"/>
      <c r="AJ813" s="12"/>
      <c r="AK813" s="12"/>
    </row>
    <row r="814" spans="1:37">
      <c r="A814" s="10">
        <v>97</v>
      </c>
      <c r="B814" s="11">
        <v>1585</v>
      </c>
      <c r="C814" s="10" t="s">
        <v>839</v>
      </c>
      <c r="D814" s="11" t="s">
        <v>23</v>
      </c>
      <c r="E814" s="11"/>
      <c r="F814" s="10" t="s">
        <v>824</v>
      </c>
      <c r="G814" s="11" t="s">
        <v>26</v>
      </c>
      <c r="H814" s="9"/>
      <c r="I814" s="12"/>
      <c r="J814" s="12">
        <v>150</v>
      </c>
      <c r="K814" s="12"/>
      <c r="L814" s="12">
        <v>13851</v>
      </c>
      <c r="M814" s="11">
        <f>L814*4+AI814-AJ814</f>
        <v>55404</v>
      </c>
      <c r="N814" s="13"/>
      <c r="O814" s="12"/>
      <c r="P814" s="12"/>
      <c r="Q814" s="12"/>
      <c r="R814" s="12"/>
      <c r="S814" s="12"/>
      <c r="T814" s="12">
        <v>14001</v>
      </c>
      <c r="U814" s="12"/>
      <c r="V814" s="12"/>
      <c r="W814" s="12"/>
      <c r="X814" s="12"/>
      <c r="Y814" s="12"/>
      <c r="Z814" s="12"/>
      <c r="AA814" s="12"/>
      <c r="AB814" s="12"/>
      <c r="AC814" s="12"/>
      <c r="AD814" s="12"/>
      <c r="AE814" s="12"/>
      <c r="AF814" s="13">
        <f>H814+I814+J814+K814+M814-N814</f>
        <v>55554</v>
      </c>
      <c r="AG814" s="13">
        <f>SUM(O814:AE814)</f>
        <v>14001</v>
      </c>
      <c r="AH814" s="13">
        <f>AF814-AG814</f>
        <v>41553</v>
      </c>
      <c r="AI814" s="12"/>
      <c r="AJ814" s="12"/>
      <c r="AK814" s="12"/>
    </row>
    <row r="815" spans="1:37">
      <c r="A815" s="10">
        <v>98</v>
      </c>
      <c r="B815" s="11">
        <v>565</v>
      </c>
      <c r="C815" s="10" t="s">
        <v>840</v>
      </c>
      <c r="D815" s="11" t="s">
        <v>28</v>
      </c>
      <c r="E815" s="11"/>
      <c r="F815" s="10" t="s">
        <v>824</v>
      </c>
      <c r="G815" s="11" t="s">
        <v>26</v>
      </c>
      <c r="H815" s="9"/>
      <c r="I815" s="12"/>
      <c r="J815" s="12">
        <v>150</v>
      </c>
      <c r="K815" s="12"/>
      <c r="L815" s="12">
        <v>13851</v>
      </c>
      <c r="M815" s="11">
        <f>L815*4+AI815-AJ815</f>
        <v>55404</v>
      </c>
      <c r="N815" s="13"/>
      <c r="O815" s="12"/>
      <c r="P815" s="12"/>
      <c r="Q815" s="12"/>
      <c r="R815" s="12"/>
      <c r="S815" s="12"/>
      <c r="T815" s="12"/>
      <c r="U815" s="12">
        <v>14001</v>
      </c>
      <c r="V815" s="12"/>
      <c r="W815" s="12"/>
      <c r="X815" s="12"/>
      <c r="Y815" s="12"/>
      <c r="Z815" s="12"/>
      <c r="AA815" s="12"/>
      <c r="AB815" s="12"/>
      <c r="AC815" s="12"/>
      <c r="AD815" s="12"/>
      <c r="AE815" s="12"/>
      <c r="AF815" s="13">
        <f>H815+I815+J815+K815+M815-N815</f>
        <v>55554</v>
      </c>
      <c r="AG815" s="13">
        <f>SUM(O815:AE815)</f>
        <v>14001</v>
      </c>
      <c r="AH815" s="13">
        <f>AF815-AG815</f>
        <v>41553</v>
      </c>
      <c r="AI815" s="12"/>
      <c r="AJ815" s="12"/>
      <c r="AK815" s="12"/>
    </row>
    <row r="816" spans="1:37">
      <c r="A816" s="10">
        <v>99</v>
      </c>
      <c r="B816" s="11">
        <v>756</v>
      </c>
      <c r="C816" s="10" t="s">
        <v>841</v>
      </c>
      <c r="D816" s="11" t="s">
        <v>28</v>
      </c>
      <c r="E816" s="11"/>
      <c r="F816" s="10" t="s">
        <v>824</v>
      </c>
      <c r="G816" s="11" t="s">
        <v>26</v>
      </c>
      <c r="H816" s="9"/>
      <c r="I816" s="12"/>
      <c r="J816" s="12">
        <v>150</v>
      </c>
      <c r="K816" s="12"/>
      <c r="L816" s="12">
        <v>13851</v>
      </c>
      <c r="M816" s="11">
        <f>L816*4+AI816-AJ816</f>
        <v>55404</v>
      </c>
      <c r="N816" s="13"/>
      <c r="O816" s="12"/>
      <c r="P816" s="12"/>
      <c r="Q816" s="12"/>
      <c r="R816" s="12"/>
      <c r="S816" s="12">
        <v>14001</v>
      </c>
      <c r="T816" s="12"/>
      <c r="U816" s="12"/>
      <c r="V816" s="12">
        <v>13851</v>
      </c>
      <c r="W816" s="12"/>
      <c r="X816" s="12"/>
      <c r="Y816" s="12"/>
      <c r="Z816" s="12"/>
      <c r="AA816" s="12"/>
      <c r="AB816" s="12"/>
      <c r="AC816" s="12"/>
      <c r="AD816" s="12"/>
      <c r="AE816" s="12"/>
      <c r="AF816" s="13">
        <f>H816+I816+J816+K816+M816-N816</f>
        <v>55554</v>
      </c>
      <c r="AG816" s="13">
        <f>SUM(O816:AE816)</f>
        <v>27852</v>
      </c>
      <c r="AH816" s="13">
        <f>AF816-AG816</f>
        <v>27702</v>
      </c>
      <c r="AI816" s="12"/>
      <c r="AJ816" s="12"/>
      <c r="AK816" s="12"/>
    </row>
    <row r="817" spans="1:37">
      <c r="A817" s="10">
        <v>100</v>
      </c>
      <c r="B817" s="11">
        <v>1165</v>
      </c>
      <c r="C817" s="10" t="s">
        <v>842</v>
      </c>
      <c r="D817" s="11" t="s">
        <v>28</v>
      </c>
      <c r="E817" s="11"/>
      <c r="F817" s="10" t="s">
        <v>824</v>
      </c>
      <c r="G817" s="11" t="s">
        <v>26</v>
      </c>
      <c r="H817" s="9"/>
      <c r="I817" s="12"/>
      <c r="J817" s="12">
        <v>150</v>
      </c>
      <c r="K817" s="12"/>
      <c r="L817" s="12">
        <v>13851</v>
      </c>
      <c r="M817" s="11">
        <f>L817*4+AI817-AJ817</f>
        <v>55404</v>
      </c>
      <c r="N817" s="13"/>
      <c r="O817" s="12"/>
      <c r="P817" s="12"/>
      <c r="Q817" s="12"/>
      <c r="R817" s="12"/>
      <c r="S817" s="12"/>
      <c r="T817" s="12"/>
      <c r="U817" s="12">
        <v>14001</v>
      </c>
      <c r="V817" s="12"/>
      <c r="W817" s="12"/>
      <c r="X817" s="12"/>
      <c r="Y817" s="12"/>
      <c r="Z817" s="12"/>
      <c r="AA817" s="12"/>
      <c r="AB817" s="12"/>
      <c r="AC817" s="12"/>
      <c r="AD817" s="12"/>
      <c r="AE817" s="12"/>
      <c r="AF817" s="13">
        <f>H817+I817+J817+K817+M817-N817</f>
        <v>55554</v>
      </c>
      <c r="AG817" s="13">
        <f>SUM(O817:AE817)</f>
        <v>14001</v>
      </c>
      <c r="AH817" s="13">
        <f>AF817-AG817</f>
        <v>41553</v>
      </c>
      <c r="AI817" s="12"/>
      <c r="AJ817" s="12"/>
      <c r="AK817" s="12"/>
    </row>
    <row r="818" spans="1:37">
      <c r="A818" s="10">
        <v>101</v>
      </c>
      <c r="B818" s="11">
        <v>1887</v>
      </c>
      <c r="C818" s="10" t="s">
        <v>843</v>
      </c>
      <c r="D818" s="11" t="s">
        <v>28</v>
      </c>
      <c r="E818" s="11"/>
      <c r="F818" s="10" t="s">
        <v>824</v>
      </c>
      <c r="G818" s="11" t="s">
        <v>26</v>
      </c>
      <c r="H818" s="9"/>
      <c r="I818" s="12"/>
      <c r="J818" s="12">
        <v>150</v>
      </c>
      <c r="K818" s="12"/>
      <c r="L818" s="12">
        <v>13851</v>
      </c>
      <c r="M818" s="11">
        <f>L818*4+AI818-AJ818</f>
        <v>55404</v>
      </c>
      <c r="N818" s="13"/>
      <c r="O818" s="12"/>
      <c r="P818" s="12"/>
      <c r="Q818" s="12"/>
      <c r="R818" s="12"/>
      <c r="S818" s="12">
        <v>14001</v>
      </c>
      <c r="T818" s="12"/>
      <c r="U818" s="12"/>
      <c r="V818" s="12"/>
      <c r="W818" s="12"/>
      <c r="X818" s="12"/>
      <c r="Y818" s="12"/>
      <c r="Z818" s="12"/>
      <c r="AA818" s="12"/>
      <c r="AB818" s="12"/>
      <c r="AC818" s="12"/>
      <c r="AD818" s="12"/>
      <c r="AE818" s="12"/>
      <c r="AF818" s="13">
        <f>H818+I818+J818+K818+M818-N818</f>
        <v>55554</v>
      </c>
      <c r="AG818" s="13">
        <f>SUM(O818:AE818)</f>
        <v>14001</v>
      </c>
      <c r="AH818" s="13">
        <f>AF818-AG818</f>
        <v>41553</v>
      </c>
      <c r="AI818" s="12"/>
      <c r="AJ818" s="12"/>
      <c r="AK818" s="12"/>
    </row>
    <row r="819" spans="1:37">
      <c r="A819" s="10">
        <v>102</v>
      </c>
      <c r="B819" s="11">
        <v>682</v>
      </c>
      <c r="C819" s="10" t="s">
        <v>844</v>
      </c>
      <c r="D819" s="11" t="s">
        <v>28</v>
      </c>
      <c r="E819" s="11"/>
      <c r="F819" s="10" t="s">
        <v>824</v>
      </c>
      <c r="G819" s="11" t="s">
        <v>26</v>
      </c>
      <c r="H819" s="9"/>
      <c r="I819" s="12"/>
      <c r="J819" s="12">
        <v>150</v>
      </c>
      <c r="K819" s="12"/>
      <c r="L819" s="12">
        <v>13851</v>
      </c>
      <c r="M819" s="11">
        <f>L819*4+AI819-AJ819</f>
        <v>55504</v>
      </c>
      <c r="N819" s="13"/>
      <c r="O819" s="12"/>
      <c r="P819" s="12"/>
      <c r="Q819" s="12"/>
      <c r="R819" s="12"/>
      <c r="S819" s="12"/>
      <c r="T819" s="12"/>
      <c r="U819" s="12"/>
      <c r="V819" s="12">
        <v>14001</v>
      </c>
      <c r="W819" s="12"/>
      <c r="X819" s="12"/>
      <c r="Y819" s="12"/>
      <c r="Z819" s="12"/>
      <c r="AA819" s="12"/>
      <c r="AB819" s="12"/>
      <c r="AC819" s="12"/>
      <c r="AD819" s="12"/>
      <c r="AE819" s="12"/>
      <c r="AF819" s="13">
        <f>H819+I819+J819+K819+M819-N819</f>
        <v>55654</v>
      </c>
      <c r="AG819" s="13">
        <f>SUM(O819:AE819)</f>
        <v>14001</v>
      </c>
      <c r="AH819" s="13">
        <f>AF819-AG819</f>
        <v>41653</v>
      </c>
      <c r="AI819" s="12">
        <v>100</v>
      </c>
      <c r="AJ819" s="12"/>
      <c r="AK819" s="12"/>
    </row>
    <row r="820" spans="1:37">
      <c r="A820" s="10">
        <v>103</v>
      </c>
      <c r="B820" s="11">
        <v>679</v>
      </c>
      <c r="C820" s="10" t="s">
        <v>845</v>
      </c>
      <c r="D820" s="11" t="s">
        <v>28</v>
      </c>
      <c r="E820" s="11"/>
      <c r="F820" s="10" t="s">
        <v>824</v>
      </c>
      <c r="G820" s="11" t="s">
        <v>26</v>
      </c>
      <c r="H820" s="9"/>
      <c r="I820" s="12"/>
      <c r="J820" s="12">
        <v>150</v>
      </c>
      <c r="K820" s="12"/>
      <c r="L820" s="12">
        <v>13851</v>
      </c>
      <c r="M820" s="11">
        <f>L820*4+AI820-AJ820</f>
        <v>55404</v>
      </c>
      <c r="N820" s="13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  <c r="AA820" s="12"/>
      <c r="AB820" s="12"/>
      <c r="AC820" s="12"/>
      <c r="AD820" s="12"/>
      <c r="AE820" s="12"/>
      <c r="AF820" s="13">
        <f>H820+I820+J820+K820+M820-N820</f>
        <v>55554</v>
      </c>
      <c r="AG820" s="13">
        <f>SUM(O820:AE820)</f>
        <v>0</v>
      </c>
      <c r="AH820" s="13">
        <f>AF820-AG820</f>
        <v>55554</v>
      </c>
      <c r="AI820" s="12"/>
      <c r="AJ820" s="12"/>
      <c r="AK820" s="12"/>
    </row>
    <row r="821" spans="1:37">
      <c r="A821" s="10">
        <v>104</v>
      </c>
      <c r="B821" s="11">
        <v>678</v>
      </c>
      <c r="C821" s="10" t="s">
        <v>846</v>
      </c>
      <c r="D821" s="11" t="s">
        <v>23</v>
      </c>
      <c r="E821" s="11"/>
      <c r="F821" s="10" t="s">
        <v>824</v>
      </c>
      <c r="G821" s="11" t="s">
        <v>26</v>
      </c>
      <c r="H821" s="9"/>
      <c r="I821" s="12"/>
      <c r="J821" s="12">
        <v>150</v>
      </c>
      <c r="K821" s="12"/>
      <c r="L821" s="12">
        <v>13851</v>
      </c>
      <c r="M821" s="11">
        <f>L821*4+AI821-AJ821</f>
        <v>55404</v>
      </c>
      <c r="N821" s="13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  <c r="AA821" s="12"/>
      <c r="AB821" s="12"/>
      <c r="AC821" s="12"/>
      <c r="AD821" s="12"/>
      <c r="AE821" s="12"/>
      <c r="AF821" s="13">
        <f>H821+I821+J821+K821+M821-N821</f>
        <v>55554</v>
      </c>
      <c r="AG821" s="13">
        <f>SUM(O821:AE821)</f>
        <v>0</v>
      </c>
      <c r="AH821" s="13">
        <f>AF821-AG821</f>
        <v>55554</v>
      </c>
      <c r="AI821" s="12"/>
      <c r="AJ821" s="12"/>
      <c r="AK821" s="12"/>
    </row>
    <row r="822" spans="1:37">
      <c r="A822" s="10">
        <v>105</v>
      </c>
      <c r="B822" s="11">
        <v>766</v>
      </c>
      <c r="C822" s="10" t="s">
        <v>847</v>
      </c>
      <c r="D822" s="11" t="s">
        <v>28</v>
      </c>
      <c r="E822" s="11"/>
      <c r="F822" s="10" t="s">
        <v>824</v>
      </c>
      <c r="G822" s="11" t="s">
        <v>26</v>
      </c>
      <c r="H822" s="9"/>
      <c r="I822" s="12"/>
      <c r="J822" s="12">
        <v>150</v>
      </c>
      <c r="K822" s="12"/>
      <c r="L822" s="12">
        <v>13851</v>
      </c>
      <c r="M822" s="11">
        <f>L822*4+AI822-AJ822</f>
        <v>54971</v>
      </c>
      <c r="N822" s="13"/>
      <c r="O822" s="12"/>
      <c r="P822" s="12"/>
      <c r="Q822" s="12"/>
      <c r="R822" s="12"/>
      <c r="S822" s="12"/>
      <c r="T822" s="12"/>
      <c r="U822" s="12"/>
      <c r="V822" s="12">
        <v>13568</v>
      </c>
      <c r="W822" s="12"/>
      <c r="X822" s="12"/>
      <c r="Y822" s="12"/>
      <c r="Z822" s="12"/>
      <c r="AA822" s="12"/>
      <c r="AB822" s="12"/>
      <c r="AC822" s="12"/>
      <c r="AD822" s="12"/>
      <c r="AE822" s="12"/>
      <c r="AF822" s="13">
        <f>H822+I822+J822+K822+M822-N822</f>
        <v>55121</v>
      </c>
      <c r="AG822" s="13">
        <f>SUM(O822:AE822)</f>
        <v>13568</v>
      </c>
      <c r="AH822" s="13">
        <f>AF822-AG822</f>
        <v>41553</v>
      </c>
      <c r="AI822" s="12"/>
      <c r="AJ822" s="12">
        <v>433</v>
      </c>
      <c r="AK822" s="12"/>
    </row>
    <row r="823" spans="1:37">
      <c r="A823" s="10">
        <v>106</v>
      </c>
      <c r="B823" s="11">
        <v>1892</v>
      </c>
      <c r="C823" s="10" t="s">
        <v>848</v>
      </c>
      <c r="D823" s="11" t="s">
        <v>28</v>
      </c>
      <c r="E823" s="11"/>
      <c r="F823" s="10" t="s">
        <v>824</v>
      </c>
      <c r="G823" s="11" t="s">
        <v>26</v>
      </c>
      <c r="H823" s="9"/>
      <c r="I823" s="12"/>
      <c r="J823" s="12">
        <v>150</v>
      </c>
      <c r="K823" s="12"/>
      <c r="L823" s="12">
        <v>13851</v>
      </c>
      <c r="M823" s="11">
        <f>L823*4+AI823-AJ823</f>
        <v>55404</v>
      </c>
      <c r="N823" s="13">
        <v>2770</v>
      </c>
      <c r="O823" s="12"/>
      <c r="P823" s="12"/>
      <c r="Q823" s="12"/>
      <c r="R823" s="12"/>
      <c r="S823" s="12"/>
      <c r="T823" s="12">
        <v>52784</v>
      </c>
      <c r="U823" s="12"/>
      <c r="V823" s="12"/>
      <c r="W823" s="12"/>
      <c r="X823" s="12"/>
      <c r="Y823" s="12"/>
      <c r="Z823" s="12"/>
      <c r="AA823" s="12"/>
      <c r="AB823" s="12"/>
      <c r="AC823" s="12"/>
      <c r="AD823" s="12"/>
      <c r="AE823" s="12"/>
      <c r="AF823" s="13">
        <f>H823+I823+J823+K823+M823-N823</f>
        <v>52784</v>
      </c>
      <c r="AG823" s="13">
        <f>SUM(O823:AE823)</f>
        <v>52784</v>
      </c>
      <c r="AH823" s="13">
        <f>AF823-AG823</f>
        <v>0</v>
      </c>
      <c r="AI823" s="12"/>
      <c r="AJ823" s="12"/>
      <c r="AK823" s="12"/>
    </row>
    <row r="824" spans="1:37">
      <c r="A824" s="10">
        <v>107</v>
      </c>
      <c r="B824" s="11">
        <v>1910</v>
      </c>
      <c r="C824" s="10" t="s">
        <v>849</v>
      </c>
      <c r="D824" s="11" t="s">
        <v>23</v>
      </c>
      <c r="E824" s="11"/>
      <c r="F824" s="10" t="s">
        <v>824</v>
      </c>
      <c r="G824" s="11" t="s">
        <v>26</v>
      </c>
      <c r="H824" s="9"/>
      <c r="I824" s="12"/>
      <c r="J824" s="12">
        <v>150</v>
      </c>
      <c r="K824" s="12"/>
      <c r="L824" s="12">
        <v>13851</v>
      </c>
      <c r="M824" s="11">
        <f>L824*4+AI824-AJ824</f>
        <v>55404</v>
      </c>
      <c r="N824" s="13"/>
      <c r="O824" s="12"/>
      <c r="P824" s="12"/>
      <c r="Q824" s="12"/>
      <c r="R824" s="12"/>
      <c r="S824" s="12"/>
      <c r="T824" s="12">
        <v>14001</v>
      </c>
      <c r="U824" s="12"/>
      <c r="V824" s="12"/>
      <c r="W824" s="12"/>
      <c r="X824" s="12"/>
      <c r="Y824" s="12"/>
      <c r="Z824" s="12"/>
      <c r="AA824" s="12"/>
      <c r="AB824" s="12"/>
      <c r="AC824" s="12"/>
      <c r="AD824" s="12"/>
      <c r="AE824" s="12"/>
      <c r="AF824" s="13">
        <f>H824+I824+J824+K824+M824-N824</f>
        <v>55554</v>
      </c>
      <c r="AG824" s="13">
        <f>SUM(O824:AE824)</f>
        <v>14001</v>
      </c>
      <c r="AH824" s="13">
        <f>AF824-AG824</f>
        <v>41553</v>
      </c>
      <c r="AI824" s="12"/>
      <c r="AJ824" s="12"/>
      <c r="AK824" s="12"/>
    </row>
    <row r="825" spans="1:37">
      <c r="A825" s="10">
        <v>108</v>
      </c>
      <c r="B825" s="11">
        <v>673</v>
      </c>
      <c r="C825" s="10" t="s">
        <v>850</v>
      </c>
      <c r="D825" s="11" t="s">
        <v>23</v>
      </c>
      <c r="E825" s="11"/>
      <c r="F825" s="10" t="s">
        <v>824</v>
      </c>
      <c r="G825" s="11" t="s">
        <v>26</v>
      </c>
      <c r="H825" s="9"/>
      <c r="I825" s="12"/>
      <c r="J825" s="12">
        <v>150</v>
      </c>
      <c r="K825" s="12"/>
      <c r="L825" s="12">
        <v>13851</v>
      </c>
      <c r="M825" s="11">
        <f>L825*4+AI825-AJ825</f>
        <v>55404</v>
      </c>
      <c r="N825" s="13"/>
      <c r="O825" s="12"/>
      <c r="P825" s="12"/>
      <c r="Q825" s="12"/>
      <c r="R825" s="12"/>
      <c r="S825" s="12"/>
      <c r="T825" s="12">
        <v>14001</v>
      </c>
      <c r="U825" s="12"/>
      <c r="V825" s="12"/>
      <c r="W825" s="12"/>
      <c r="X825" s="12"/>
      <c r="Y825" s="12"/>
      <c r="Z825" s="12"/>
      <c r="AA825" s="12"/>
      <c r="AB825" s="12"/>
      <c r="AC825" s="12"/>
      <c r="AD825" s="12"/>
      <c r="AE825" s="12"/>
      <c r="AF825" s="13">
        <f>H825+I825+J825+K825+M825-N825</f>
        <v>55554</v>
      </c>
      <c r="AG825" s="13">
        <f>SUM(O825:AE825)</f>
        <v>14001</v>
      </c>
      <c r="AH825" s="13">
        <f>AF825-AG825</f>
        <v>41553</v>
      </c>
      <c r="AI825" s="12"/>
      <c r="AJ825" s="12"/>
      <c r="AK825" s="12"/>
    </row>
    <row r="826" spans="1:37">
      <c r="A826" s="10">
        <v>109</v>
      </c>
      <c r="B826" s="11">
        <v>711</v>
      </c>
      <c r="C826" s="10" t="s">
        <v>851</v>
      </c>
      <c r="D826" s="11" t="s">
        <v>23</v>
      </c>
      <c r="E826" s="11"/>
      <c r="F826" s="10" t="s">
        <v>824</v>
      </c>
      <c r="G826" s="11" t="s">
        <v>26</v>
      </c>
      <c r="H826" s="9"/>
      <c r="I826" s="12"/>
      <c r="J826" s="12">
        <v>150</v>
      </c>
      <c r="K826" s="12"/>
      <c r="L826" s="12">
        <v>13851</v>
      </c>
      <c r="M826" s="11">
        <f>L826*4+AI826-AJ826</f>
        <v>55404</v>
      </c>
      <c r="N826" s="13"/>
      <c r="O826" s="12"/>
      <c r="P826" s="12"/>
      <c r="Q826" s="12"/>
      <c r="R826" s="12"/>
      <c r="S826" s="12">
        <v>14001</v>
      </c>
      <c r="T826" s="12"/>
      <c r="U826" s="12"/>
      <c r="V826" s="12">
        <v>13851</v>
      </c>
      <c r="W826" s="12"/>
      <c r="X826" s="12"/>
      <c r="Y826" s="12"/>
      <c r="Z826" s="12"/>
      <c r="AA826" s="12"/>
      <c r="AB826" s="12"/>
      <c r="AC826" s="12"/>
      <c r="AD826" s="12"/>
      <c r="AE826" s="12"/>
      <c r="AF826" s="13">
        <f>H826+I826+J826+K826+M826-N826</f>
        <v>55554</v>
      </c>
      <c r="AG826" s="13">
        <f>SUM(O826:AE826)</f>
        <v>27852</v>
      </c>
      <c r="AH826" s="13">
        <f>AF826-AG826</f>
        <v>27702</v>
      </c>
      <c r="AI826" s="12"/>
      <c r="AJ826" s="12"/>
      <c r="AK826" s="12"/>
    </row>
    <row r="827" spans="1:37">
      <c r="A827" s="10">
        <v>110</v>
      </c>
      <c r="B827" s="11">
        <v>1796</v>
      </c>
      <c r="C827" s="10" t="s">
        <v>852</v>
      </c>
      <c r="D827" s="11" t="s">
        <v>28</v>
      </c>
      <c r="E827" s="11"/>
      <c r="F827" s="10" t="s">
        <v>824</v>
      </c>
      <c r="G827" s="11" t="s">
        <v>26</v>
      </c>
      <c r="H827" s="9"/>
      <c r="I827" s="12"/>
      <c r="J827" s="12">
        <v>150</v>
      </c>
      <c r="K827" s="12"/>
      <c r="L827" s="12">
        <v>13851</v>
      </c>
      <c r="M827" s="11">
        <f>L827*4+AI827-AJ827</f>
        <v>55404</v>
      </c>
      <c r="N827" s="13"/>
      <c r="O827" s="12"/>
      <c r="P827" s="12"/>
      <c r="Q827" s="12"/>
      <c r="R827" s="12"/>
      <c r="S827" s="12"/>
      <c r="T827" s="12"/>
      <c r="U827" s="12">
        <v>14001</v>
      </c>
      <c r="V827" s="12"/>
      <c r="W827" s="12"/>
      <c r="X827" s="12"/>
      <c r="Y827" s="12"/>
      <c r="Z827" s="12"/>
      <c r="AA827" s="12"/>
      <c r="AB827" s="12"/>
      <c r="AC827" s="12"/>
      <c r="AD827" s="12"/>
      <c r="AE827" s="12"/>
      <c r="AF827" s="13">
        <f>H827+I827+J827+K827+M827-N827</f>
        <v>55554</v>
      </c>
      <c r="AG827" s="13">
        <f>SUM(O827:AE827)</f>
        <v>14001</v>
      </c>
      <c r="AH827" s="13">
        <f>AF827-AG827</f>
        <v>41553</v>
      </c>
      <c r="AI827" s="12"/>
      <c r="AJ827" s="12"/>
      <c r="AK827" s="12"/>
    </row>
    <row r="828" spans="1:37">
      <c r="A828" s="10">
        <v>111</v>
      </c>
      <c r="B828" s="16">
        <v>2065</v>
      </c>
      <c r="C828" s="16" t="s">
        <v>853</v>
      </c>
      <c r="D828" s="16" t="s">
        <v>28</v>
      </c>
      <c r="E828" s="16"/>
      <c r="F828" s="10" t="s">
        <v>824</v>
      </c>
      <c r="G828" s="12" t="s">
        <v>26</v>
      </c>
      <c r="H828" s="9"/>
      <c r="I828" s="12"/>
      <c r="J828" s="12">
        <v>150</v>
      </c>
      <c r="K828" s="12"/>
      <c r="L828" s="12">
        <v>13851</v>
      </c>
      <c r="M828" s="11">
        <f>L828*4+AI828-AJ828</f>
        <v>55404</v>
      </c>
      <c r="N828" s="13"/>
      <c r="O828" s="9"/>
      <c r="P828" s="12"/>
      <c r="Q828" s="12"/>
      <c r="R828" s="12"/>
      <c r="S828" s="12">
        <v>14001</v>
      </c>
      <c r="T828" s="12"/>
      <c r="U828" s="12"/>
      <c r="V828" s="12">
        <v>13851</v>
      </c>
      <c r="W828" s="12"/>
      <c r="X828" s="12"/>
      <c r="Y828" s="12"/>
      <c r="Z828" s="12"/>
      <c r="AA828" s="12"/>
      <c r="AB828" s="12"/>
      <c r="AC828" s="12"/>
      <c r="AD828" s="12"/>
      <c r="AE828" s="12"/>
      <c r="AF828" s="13">
        <f>H828+I828+J828+K828+M828-N828</f>
        <v>55554</v>
      </c>
      <c r="AG828" s="13">
        <f>SUM(O828:AE828)</f>
        <v>27852</v>
      </c>
      <c r="AH828" s="13">
        <f>AF828-AG828</f>
        <v>27702</v>
      </c>
      <c r="AI828" s="12"/>
      <c r="AJ828" s="12"/>
      <c r="AK828" s="12"/>
    </row>
    <row r="829" spans="1:37">
      <c r="A829" s="10">
        <v>112</v>
      </c>
      <c r="B829" s="11">
        <v>755</v>
      </c>
      <c r="C829" s="10" t="s">
        <v>854</v>
      </c>
      <c r="D829" s="11" t="s">
        <v>23</v>
      </c>
      <c r="E829" s="11"/>
      <c r="F829" s="10" t="s">
        <v>824</v>
      </c>
      <c r="G829" s="11" t="s">
        <v>26</v>
      </c>
      <c r="H829" s="9"/>
      <c r="I829" s="12"/>
      <c r="J829" s="12">
        <v>150</v>
      </c>
      <c r="K829" s="12"/>
      <c r="L829" s="12">
        <v>13851</v>
      </c>
      <c r="M829" s="11">
        <f>L829*4+AI829-AJ829</f>
        <v>55404</v>
      </c>
      <c r="N829" s="13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  <c r="AA829" s="12"/>
      <c r="AB829" s="12"/>
      <c r="AC829" s="12"/>
      <c r="AD829" s="12"/>
      <c r="AE829" s="12"/>
      <c r="AF829" s="13">
        <f>H829+I829+J829+K829+M829-N829</f>
        <v>55554</v>
      </c>
      <c r="AG829" s="13">
        <f>SUM(O829:AE829)</f>
        <v>0</v>
      </c>
      <c r="AH829" s="13">
        <f>AF829-AG829</f>
        <v>55554</v>
      </c>
      <c r="AI829" s="12"/>
      <c r="AJ829" s="12"/>
      <c r="AK829" s="12"/>
    </row>
    <row r="830" spans="1:37">
      <c r="A830" s="10">
        <v>113</v>
      </c>
      <c r="B830" s="16">
        <v>2059</v>
      </c>
      <c r="C830" s="12" t="s">
        <v>855</v>
      </c>
      <c r="D830" s="16" t="s">
        <v>28</v>
      </c>
      <c r="E830" s="16"/>
      <c r="F830" s="10" t="s">
        <v>824</v>
      </c>
      <c r="G830" s="12" t="s">
        <v>62</v>
      </c>
      <c r="H830" s="9"/>
      <c r="I830" s="12"/>
      <c r="J830" s="12">
        <v>150</v>
      </c>
      <c r="K830" s="12"/>
      <c r="L830" s="12">
        <v>13851</v>
      </c>
      <c r="M830" s="11">
        <f>L830*4+AI830-AJ830</f>
        <v>55404</v>
      </c>
      <c r="N830" s="13"/>
      <c r="O830" s="9"/>
      <c r="P830" s="12"/>
      <c r="Q830" s="12"/>
      <c r="R830" s="12"/>
      <c r="S830" s="12">
        <v>14001</v>
      </c>
      <c r="T830" s="12"/>
      <c r="U830" s="12"/>
      <c r="V830" s="12"/>
      <c r="W830" s="12"/>
      <c r="X830" s="12"/>
      <c r="Y830" s="12"/>
      <c r="Z830" s="12"/>
      <c r="AA830" s="12"/>
      <c r="AB830" s="12"/>
      <c r="AC830" s="12"/>
      <c r="AD830" s="12"/>
      <c r="AE830" s="12"/>
      <c r="AF830" s="13">
        <f>H830+I830+J830+K830+M830-N830</f>
        <v>55554</v>
      </c>
      <c r="AG830" s="13">
        <f>SUM(O830:AE830)</f>
        <v>14001</v>
      </c>
      <c r="AH830" s="13">
        <f>AF830-AG830</f>
        <v>41553</v>
      </c>
      <c r="AI830" s="12"/>
      <c r="AJ830" s="12"/>
      <c r="AK830" s="12"/>
    </row>
    <row r="831" spans="1:37">
      <c r="A831" s="10">
        <v>114</v>
      </c>
      <c r="B831" s="27">
        <v>712</v>
      </c>
      <c r="C831" s="26" t="s">
        <v>856</v>
      </c>
      <c r="D831" s="27" t="s">
        <v>23</v>
      </c>
      <c r="E831" s="27"/>
      <c r="F831" s="26" t="s">
        <v>824</v>
      </c>
      <c r="G831" s="27" t="s">
        <v>62</v>
      </c>
      <c r="H831" s="9"/>
      <c r="I831" s="12"/>
      <c r="J831" s="12">
        <v>150</v>
      </c>
      <c r="K831" s="12"/>
      <c r="L831" s="12">
        <v>6926</v>
      </c>
      <c r="M831" s="11">
        <f>L831*4+AI831-AJ831</f>
        <v>27704</v>
      </c>
      <c r="N831" s="13"/>
      <c r="O831" s="12"/>
      <c r="P831" s="12"/>
      <c r="Q831" s="12"/>
      <c r="R831" s="12"/>
      <c r="S831" s="12"/>
      <c r="T831" s="12"/>
      <c r="U831" s="12"/>
      <c r="V831" s="11">
        <f>2000+2000+2000</f>
        <v>6000</v>
      </c>
      <c r="W831" s="12"/>
      <c r="X831" s="12"/>
      <c r="Y831" s="12"/>
      <c r="Z831" s="12"/>
      <c r="AA831" s="12"/>
      <c r="AB831" s="12"/>
      <c r="AC831" s="12"/>
      <c r="AD831" s="12"/>
      <c r="AE831" s="12"/>
      <c r="AF831" s="13">
        <f>H831+I831+J831+K831+M831-N831</f>
        <v>27854</v>
      </c>
      <c r="AG831" s="13">
        <f>SUM(O831:AE831)</f>
        <v>6000</v>
      </c>
      <c r="AH831" s="13">
        <f>AF831-AG831</f>
        <v>21854</v>
      </c>
      <c r="AI831" s="12"/>
      <c r="AJ831" s="12"/>
      <c r="AK831" s="12"/>
    </row>
    <row r="832" spans="1:37">
      <c r="A832" s="10">
        <v>115</v>
      </c>
      <c r="B832" s="11">
        <v>670</v>
      </c>
      <c r="C832" s="10" t="s">
        <v>857</v>
      </c>
      <c r="D832" s="11" t="s">
        <v>28</v>
      </c>
      <c r="E832" s="11"/>
      <c r="F832" s="10" t="s">
        <v>824</v>
      </c>
      <c r="G832" s="11" t="s">
        <v>62</v>
      </c>
      <c r="H832" s="9"/>
      <c r="I832" s="12"/>
      <c r="J832" s="12">
        <v>150</v>
      </c>
      <c r="K832" s="12"/>
      <c r="L832" s="12">
        <v>13851</v>
      </c>
      <c r="M832" s="11">
        <f>L832*4+AI832-AJ832</f>
        <v>55404</v>
      </c>
      <c r="N832" s="13">
        <v>2770</v>
      </c>
      <c r="O832" s="12"/>
      <c r="P832" s="12"/>
      <c r="Q832" s="12"/>
      <c r="R832" s="12"/>
      <c r="S832" s="12"/>
      <c r="T832" s="12">
        <v>52784</v>
      </c>
      <c r="U832" s="12"/>
      <c r="V832" s="12"/>
      <c r="W832" s="12"/>
      <c r="X832" s="12"/>
      <c r="Y832" s="12"/>
      <c r="Z832" s="12"/>
      <c r="AA832" s="12"/>
      <c r="AB832" s="12"/>
      <c r="AC832" s="12"/>
      <c r="AD832" s="12"/>
      <c r="AE832" s="12"/>
      <c r="AF832" s="13">
        <f>H832+I832+J832+K832+M832-N832</f>
        <v>52784</v>
      </c>
      <c r="AG832" s="13">
        <f>SUM(O832:AE832)</f>
        <v>52784</v>
      </c>
      <c r="AH832" s="13">
        <f>AF832-AG832</f>
        <v>0</v>
      </c>
      <c r="AI832" s="12"/>
      <c r="AJ832" s="12"/>
      <c r="AK832" s="12"/>
    </row>
    <row r="833" spans="1:37">
      <c r="A833" s="10">
        <v>116</v>
      </c>
      <c r="B833" s="11">
        <v>1886</v>
      </c>
      <c r="C833" s="10" t="s">
        <v>858</v>
      </c>
      <c r="D833" s="11" t="s">
        <v>28</v>
      </c>
      <c r="E833" s="11"/>
      <c r="F833" s="10" t="s">
        <v>824</v>
      </c>
      <c r="G833" s="11" t="s">
        <v>62</v>
      </c>
      <c r="H833" s="9"/>
      <c r="I833" s="12"/>
      <c r="J833" s="12">
        <v>150</v>
      </c>
      <c r="K833" s="12"/>
      <c r="L833" s="12">
        <v>13851</v>
      </c>
      <c r="M833" s="11">
        <f>L833*4+AI833-AJ833</f>
        <v>55404</v>
      </c>
      <c r="N833" s="13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  <c r="AA833" s="12"/>
      <c r="AB833" s="12"/>
      <c r="AC833" s="12"/>
      <c r="AD833" s="12"/>
      <c r="AE833" s="12"/>
      <c r="AF833" s="13">
        <f>H833+I833+J833+K833+M833-N833</f>
        <v>55554</v>
      </c>
      <c r="AG833" s="13">
        <f>SUM(O833:AE833)</f>
        <v>0</v>
      </c>
      <c r="AH833" s="13">
        <f>AF833-AG833</f>
        <v>55554</v>
      </c>
      <c r="AI833" s="12"/>
      <c r="AJ833" s="12"/>
      <c r="AK833" s="12"/>
    </row>
    <row r="834" spans="1:37">
      <c r="A834" s="10">
        <v>117</v>
      </c>
      <c r="B834" s="11">
        <v>2134</v>
      </c>
      <c r="C834" s="10" t="s">
        <v>859</v>
      </c>
      <c r="D834" s="11" t="s">
        <v>28</v>
      </c>
      <c r="E834" s="11"/>
      <c r="F834" s="10" t="s">
        <v>824</v>
      </c>
      <c r="G834" s="11" t="s">
        <v>62</v>
      </c>
      <c r="H834" s="9"/>
      <c r="I834" s="12"/>
      <c r="J834" s="12">
        <v>150</v>
      </c>
      <c r="K834" s="12"/>
      <c r="L834" s="12">
        <v>13851</v>
      </c>
      <c r="M834" s="11">
        <f>L834*4+AI834-AJ834</f>
        <v>71685</v>
      </c>
      <c r="N834" s="13"/>
      <c r="O834" s="12"/>
      <c r="P834" s="12"/>
      <c r="Q834" s="12"/>
      <c r="R834" s="12"/>
      <c r="S834" s="12"/>
      <c r="T834" s="12"/>
      <c r="U834" s="12"/>
      <c r="V834" s="12">
        <v>16281</v>
      </c>
      <c r="W834" s="12"/>
      <c r="X834" s="12"/>
      <c r="Y834" s="12"/>
      <c r="Z834" s="12"/>
      <c r="AA834" s="12"/>
      <c r="AB834" s="12"/>
      <c r="AC834" s="12"/>
      <c r="AD834" s="12"/>
      <c r="AE834" s="12"/>
      <c r="AF834" s="13">
        <f>H834+I834+J834+K834+M834-N834</f>
        <v>71835</v>
      </c>
      <c r="AG834" s="13">
        <f>SUM(O834:AE834)</f>
        <v>16281</v>
      </c>
      <c r="AH834" s="13">
        <f>AF834-AG834</f>
        <v>55554</v>
      </c>
      <c r="AI834" s="12">
        <v>16281</v>
      </c>
      <c r="AJ834" s="12"/>
      <c r="AK834" s="12"/>
    </row>
    <row r="835" spans="1:37">
      <c r="A835" s="10">
        <v>118</v>
      </c>
      <c r="B835" s="11">
        <v>692</v>
      </c>
      <c r="C835" s="10" t="s">
        <v>860</v>
      </c>
      <c r="D835" s="11" t="s">
        <v>28</v>
      </c>
      <c r="E835" s="11"/>
      <c r="F835" s="10" t="s">
        <v>824</v>
      </c>
      <c r="G835" s="11" t="s">
        <v>62</v>
      </c>
      <c r="H835" s="9"/>
      <c r="I835" s="12"/>
      <c r="J835" s="12">
        <v>150</v>
      </c>
      <c r="K835" s="12"/>
      <c r="L835" s="12">
        <v>13851</v>
      </c>
      <c r="M835" s="11">
        <f>L835*4+AI835-AJ835</f>
        <v>55404</v>
      </c>
      <c r="N835" s="13"/>
      <c r="O835" s="12"/>
      <c r="P835" s="12"/>
      <c r="Q835" s="12"/>
      <c r="R835" s="12"/>
      <c r="S835" s="12"/>
      <c r="T835" s="12">
        <v>14001</v>
      </c>
      <c r="U835" s="12"/>
      <c r="V835" s="12"/>
      <c r="W835" s="12"/>
      <c r="X835" s="12"/>
      <c r="Y835" s="12"/>
      <c r="Z835" s="12"/>
      <c r="AA835" s="12"/>
      <c r="AB835" s="12"/>
      <c r="AC835" s="12"/>
      <c r="AD835" s="12"/>
      <c r="AE835" s="12"/>
      <c r="AF835" s="13">
        <f>H835+I835+J835+K835+M835-N835</f>
        <v>55554</v>
      </c>
      <c r="AG835" s="13">
        <f>SUM(O835:AE835)</f>
        <v>14001</v>
      </c>
      <c r="AH835" s="13">
        <f>AF835-AG835</f>
        <v>41553</v>
      </c>
      <c r="AI835" s="12"/>
      <c r="AJ835" s="12"/>
      <c r="AK835" s="12"/>
    </row>
    <row r="836" spans="1:37">
      <c r="A836" s="10">
        <v>119</v>
      </c>
      <c r="B836" s="11">
        <v>693</v>
      </c>
      <c r="C836" s="10" t="s">
        <v>252</v>
      </c>
      <c r="D836" s="11" t="s">
        <v>28</v>
      </c>
      <c r="E836" s="11"/>
      <c r="F836" s="10" t="s">
        <v>824</v>
      </c>
      <c r="G836" s="11" t="s">
        <v>62</v>
      </c>
      <c r="H836" s="9"/>
      <c r="I836" s="12"/>
      <c r="J836" s="12">
        <v>150</v>
      </c>
      <c r="K836" s="12"/>
      <c r="L836" s="12">
        <v>13851</v>
      </c>
      <c r="M836" s="11">
        <f>L836*4+AI836-AJ836</f>
        <v>55404</v>
      </c>
      <c r="N836" s="13"/>
      <c r="O836" s="12"/>
      <c r="P836" s="12"/>
      <c r="Q836" s="12"/>
      <c r="R836" s="12"/>
      <c r="S836" s="12">
        <v>14001</v>
      </c>
      <c r="T836" s="12"/>
      <c r="U836" s="12"/>
      <c r="V836" s="12"/>
      <c r="W836" s="12"/>
      <c r="X836" s="12"/>
      <c r="Y836" s="12"/>
      <c r="Z836" s="12"/>
      <c r="AA836" s="12"/>
      <c r="AB836" s="12"/>
      <c r="AC836" s="12"/>
      <c r="AD836" s="12"/>
      <c r="AE836" s="12"/>
      <c r="AF836" s="13">
        <f>H836+I836+J836+K836+M836-N836</f>
        <v>55554</v>
      </c>
      <c r="AG836" s="13">
        <f>SUM(O836:AE836)</f>
        <v>14001</v>
      </c>
      <c r="AH836" s="13">
        <f>AF836-AG836</f>
        <v>41553</v>
      </c>
      <c r="AI836" s="12"/>
      <c r="AJ836" s="12"/>
      <c r="AK836" s="12"/>
    </row>
    <row r="837" spans="1:37">
      <c r="A837" s="10">
        <v>120</v>
      </c>
      <c r="B837" s="11">
        <v>687</v>
      </c>
      <c r="C837" s="10" t="s">
        <v>861</v>
      </c>
      <c r="D837" s="11" t="s">
        <v>28</v>
      </c>
      <c r="E837" s="11"/>
      <c r="F837" s="10" t="s">
        <v>824</v>
      </c>
      <c r="G837" s="11" t="s">
        <v>62</v>
      </c>
      <c r="H837" s="9"/>
      <c r="I837" s="12"/>
      <c r="J837" s="12">
        <v>150</v>
      </c>
      <c r="K837" s="12"/>
      <c r="L837" s="12">
        <v>13851</v>
      </c>
      <c r="M837" s="11">
        <f>L837*4+AI837-AJ837</f>
        <v>55554</v>
      </c>
      <c r="N837" s="13"/>
      <c r="O837" s="12"/>
      <c r="P837" s="12"/>
      <c r="Q837" s="12"/>
      <c r="R837" s="12"/>
      <c r="S837" s="12"/>
      <c r="T837" s="12">
        <v>14001</v>
      </c>
      <c r="U837" s="12"/>
      <c r="V837" s="12"/>
      <c r="W837" s="12"/>
      <c r="X837" s="12"/>
      <c r="Y837" s="12"/>
      <c r="Z837" s="12"/>
      <c r="AA837" s="12"/>
      <c r="AB837" s="12"/>
      <c r="AC837" s="12"/>
      <c r="AD837" s="12"/>
      <c r="AE837" s="12"/>
      <c r="AF837" s="13">
        <f>H837+I837+J837+K837+M837-N837</f>
        <v>55704</v>
      </c>
      <c r="AG837" s="13">
        <f>SUM(O837:AE837)</f>
        <v>14001</v>
      </c>
      <c r="AH837" s="13">
        <f>AF837-AG837</f>
        <v>41703</v>
      </c>
      <c r="AI837" s="12">
        <v>150</v>
      </c>
      <c r="AJ837" s="12"/>
      <c r="AK837" s="12"/>
    </row>
    <row r="838" spans="1:37">
      <c r="A838" s="10">
        <v>121</v>
      </c>
      <c r="B838" s="11">
        <v>1213</v>
      </c>
      <c r="C838" s="10" t="s">
        <v>862</v>
      </c>
      <c r="D838" s="11" t="s">
        <v>23</v>
      </c>
      <c r="E838" s="11"/>
      <c r="F838" s="10" t="s">
        <v>824</v>
      </c>
      <c r="G838" s="11" t="s">
        <v>62</v>
      </c>
      <c r="H838" s="9"/>
      <c r="I838" s="12"/>
      <c r="J838" s="12">
        <v>150</v>
      </c>
      <c r="K838" s="12"/>
      <c r="L838" s="12">
        <v>13851</v>
      </c>
      <c r="M838" s="11">
        <f>L838*4+AI838-AJ838</f>
        <v>55404</v>
      </c>
      <c r="N838" s="13">
        <v>2770</v>
      </c>
      <c r="O838" s="12"/>
      <c r="P838" s="12"/>
      <c r="Q838" s="12"/>
      <c r="R838" s="12"/>
      <c r="S838" s="11">
        <f>2000+2000+2000+2000+2000+2000+2000+2000+36784</f>
        <v>52784</v>
      </c>
      <c r="T838" s="12"/>
      <c r="U838" s="12"/>
      <c r="V838" s="12"/>
      <c r="W838" s="12"/>
      <c r="X838" s="12"/>
      <c r="Y838" s="12"/>
      <c r="Z838" s="12"/>
      <c r="AA838" s="12"/>
      <c r="AB838" s="12"/>
      <c r="AC838" s="12"/>
      <c r="AD838" s="12"/>
      <c r="AE838" s="12"/>
      <c r="AF838" s="13">
        <f>H838+I838+J838+K838+M838-N838</f>
        <v>52784</v>
      </c>
      <c r="AG838" s="13">
        <f>SUM(O838:AE838)</f>
        <v>52784</v>
      </c>
      <c r="AH838" s="13">
        <f>AF838-AG838</f>
        <v>0</v>
      </c>
      <c r="AI838" s="12"/>
      <c r="AJ838" s="12"/>
      <c r="AK838" s="12"/>
    </row>
    <row r="839" spans="1:37">
      <c r="A839" s="10">
        <v>122</v>
      </c>
      <c r="B839" s="23">
        <v>1786</v>
      </c>
      <c r="C839" s="23" t="s">
        <v>863</v>
      </c>
      <c r="D839" s="24" t="s">
        <v>23</v>
      </c>
      <c r="E839" s="24"/>
      <c r="F839" s="26" t="s">
        <v>824</v>
      </c>
      <c r="G839" s="24" t="s">
        <v>62</v>
      </c>
      <c r="H839" s="9"/>
      <c r="I839" s="12"/>
      <c r="J839" s="12">
        <v>150</v>
      </c>
      <c r="K839" s="12"/>
      <c r="L839" s="12">
        <v>6926</v>
      </c>
      <c r="M839" s="11">
        <f>L839*4+AI839-AJ839</f>
        <v>27254</v>
      </c>
      <c r="N839" s="13"/>
      <c r="O839" s="12"/>
      <c r="P839" s="12"/>
      <c r="Q839" s="12"/>
      <c r="R839" s="12"/>
      <c r="S839" s="12"/>
      <c r="T839" s="12">
        <v>6626</v>
      </c>
      <c r="U839" s="12"/>
      <c r="V839" s="12"/>
      <c r="W839" s="12"/>
      <c r="X839" s="12"/>
      <c r="Y839" s="12"/>
      <c r="Z839" s="12"/>
      <c r="AA839" s="12"/>
      <c r="AB839" s="12"/>
      <c r="AC839" s="12"/>
      <c r="AD839" s="12"/>
      <c r="AE839" s="12"/>
      <c r="AF839" s="13">
        <f>H839+I839+J839+K839+M839-N839</f>
        <v>27404</v>
      </c>
      <c r="AG839" s="13">
        <f>SUM(O839:AE839)</f>
        <v>6626</v>
      </c>
      <c r="AH839" s="13">
        <f>AF839-AG839</f>
        <v>20778</v>
      </c>
      <c r="AI839" s="12"/>
      <c r="AJ839" s="12">
        <v>450</v>
      </c>
      <c r="AK839" s="12"/>
    </row>
    <row r="840" spans="1:37">
      <c r="A840" s="10">
        <v>123</v>
      </c>
      <c r="B840" s="11">
        <v>668</v>
      </c>
      <c r="C840" s="10" t="s">
        <v>864</v>
      </c>
      <c r="D840" s="11" t="s">
        <v>23</v>
      </c>
      <c r="E840" s="11"/>
      <c r="F840" s="10" t="s">
        <v>824</v>
      </c>
      <c r="G840" s="11" t="s">
        <v>62</v>
      </c>
      <c r="H840" s="9"/>
      <c r="I840" s="12"/>
      <c r="J840" s="12">
        <v>150</v>
      </c>
      <c r="K840" s="12"/>
      <c r="L840" s="12">
        <v>13851</v>
      </c>
      <c r="M840" s="11">
        <f>L840*4+AI840-AJ840</f>
        <v>55404</v>
      </c>
      <c r="N840" s="13"/>
      <c r="O840" s="12"/>
      <c r="P840" s="12"/>
      <c r="Q840" s="12"/>
      <c r="R840" s="12"/>
      <c r="S840" s="12">
        <v>14000</v>
      </c>
      <c r="T840" s="12"/>
      <c r="U840" s="12"/>
      <c r="V840" s="12">
        <v>13851</v>
      </c>
      <c r="W840" s="12"/>
      <c r="X840" s="12"/>
      <c r="Y840" s="12"/>
      <c r="Z840" s="12"/>
      <c r="AA840" s="12"/>
      <c r="AB840" s="12"/>
      <c r="AC840" s="12"/>
      <c r="AD840" s="12"/>
      <c r="AE840" s="12"/>
      <c r="AF840" s="13">
        <f>H840+I840+J840+K840+M840-N840</f>
        <v>55554</v>
      </c>
      <c r="AG840" s="13">
        <f>SUM(O840:AE840)</f>
        <v>27851</v>
      </c>
      <c r="AH840" s="13">
        <f>AF840-AG840</f>
        <v>27703</v>
      </c>
      <c r="AI840" s="12"/>
      <c r="AJ840" s="12"/>
      <c r="AK840" s="12"/>
    </row>
    <row r="841" spans="1:37">
      <c r="A841" s="10">
        <v>124</v>
      </c>
      <c r="B841" s="11">
        <v>676</v>
      </c>
      <c r="C841" s="10" t="s">
        <v>865</v>
      </c>
      <c r="D841" s="11" t="s">
        <v>28</v>
      </c>
      <c r="E841" s="11"/>
      <c r="F841" s="10" t="s">
        <v>824</v>
      </c>
      <c r="G841" s="11" t="s">
        <v>62</v>
      </c>
      <c r="H841" s="9"/>
      <c r="I841" s="12"/>
      <c r="J841" s="12">
        <v>150</v>
      </c>
      <c r="K841" s="12"/>
      <c r="L841" s="12">
        <v>13851</v>
      </c>
      <c r="M841" s="11">
        <f>L841*4+AI841-AJ841</f>
        <v>55404</v>
      </c>
      <c r="N841" s="13"/>
      <c r="O841" s="12"/>
      <c r="P841" s="12"/>
      <c r="Q841" s="12"/>
      <c r="R841" s="12"/>
      <c r="S841" s="12"/>
      <c r="T841" s="12"/>
      <c r="U841" s="12">
        <v>14000</v>
      </c>
      <c r="V841" s="12"/>
      <c r="W841" s="12"/>
      <c r="X841" s="12"/>
      <c r="Y841" s="12"/>
      <c r="Z841" s="12"/>
      <c r="AA841" s="12"/>
      <c r="AB841" s="12"/>
      <c r="AC841" s="12"/>
      <c r="AD841" s="12"/>
      <c r="AE841" s="12"/>
      <c r="AF841" s="13">
        <f>H841+I841+J841+K841+M841-N841</f>
        <v>55554</v>
      </c>
      <c r="AG841" s="13">
        <f>SUM(O841:AE841)</f>
        <v>14000</v>
      </c>
      <c r="AH841" s="13">
        <f>AF841-AG841</f>
        <v>41554</v>
      </c>
      <c r="AI841" s="12"/>
      <c r="AJ841" s="12"/>
      <c r="AK841" s="12"/>
    </row>
    <row r="842" spans="1:37">
      <c r="A842" s="10">
        <v>125</v>
      </c>
      <c r="B842" s="11">
        <v>1518</v>
      </c>
      <c r="C842" s="10" t="s">
        <v>866</v>
      </c>
      <c r="D842" s="11" t="s">
        <v>23</v>
      </c>
      <c r="E842" s="11"/>
      <c r="F842" s="10" t="s">
        <v>824</v>
      </c>
      <c r="G842" s="11" t="s">
        <v>62</v>
      </c>
      <c r="H842" s="9"/>
      <c r="I842" s="12"/>
      <c r="J842" s="12">
        <v>150</v>
      </c>
      <c r="K842" s="12"/>
      <c r="L842" s="12">
        <v>13851</v>
      </c>
      <c r="M842" s="11">
        <f>L842*4+AI842-AJ842</f>
        <v>55404</v>
      </c>
      <c r="N842" s="13"/>
      <c r="O842" s="12"/>
      <c r="P842" s="12"/>
      <c r="Q842" s="12"/>
      <c r="R842" s="12"/>
      <c r="S842" s="12">
        <v>14001</v>
      </c>
      <c r="T842" s="12"/>
      <c r="U842" s="12"/>
      <c r="V842" s="12">
        <v>13851</v>
      </c>
      <c r="W842" s="12"/>
      <c r="X842" s="12"/>
      <c r="Y842" s="12"/>
      <c r="Z842" s="12"/>
      <c r="AA842" s="12"/>
      <c r="AB842" s="12"/>
      <c r="AC842" s="12"/>
      <c r="AD842" s="12"/>
      <c r="AE842" s="12"/>
      <c r="AF842" s="13">
        <f>H842+I842+J842+K842+M842-N842</f>
        <v>55554</v>
      </c>
      <c r="AG842" s="13">
        <f>SUM(O842:AE842)</f>
        <v>27852</v>
      </c>
      <c r="AH842" s="13">
        <f>AF842-AG842</f>
        <v>27702</v>
      </c>
      <c r="AI842" s="12"/>
      <c r="AJ842" s="12"/>
      <c r="AK842" s="12"/>
    </row>
    <row r="843" spans="1:37">
      <c r="A843" s="10">
        <v>126</v>
      </c>
      <c r="B843" s="11">
        <v>1925</v>
      </c>
      <c r="C843" s="10" t="s">
        <v>867</v>
      </c>
      <c r="D843" s="11" t="s">
        <v>23</v>
      </c>
      <c r="E843" s="11"/>
      <c r="F843" s="10" t="s">
        <v>824</v>
      </c>
      <c r="G843" s="11" t="s">
        <v>62</v>
      </c>
      <c r="H843" s="9"/>
      <c r="I843" s="12"/>
      <c r="J843" s="12">
        <v>150</v>
      </c>
      <c r="K843" s="12"/>
      <c r="L843" s="12">
        <v>13851</v>
      </c>
      <c r="M843" s="11">
        <f>L843*4+AI843-AJ843</f>
        <v>55404</v>
      </c>
      <c r="N843" s="13"/>
      <c r="O843" s="12"/>
      <c r="P843" s="12"/>
      <c r="Q843" s="12"/>
      <c r="R843" s="12"/>
      <c r="S843" s="12">
        <v>14001</v>
      </c>
      <c r="T843" s="12"/>
      <c r="U843" s="12"/>
      <c r="V843" s="12">
        <v>13851</v>
      </c>
      <c r="W843" s="12"/>
      <c r="X843" s="12"/>
      <c r="Y843" s="12"/>
      <c r="Z843" s="12"/>
      <c r="AA843" s="12"/>
      <c r="AB843" s="12"/>
      <c r="AC843" s="12"/>
      <c r="AD843" s="12"/>
      <c r="AE843" s="12"/>
      <c r="AF843" s="13">
        <f>H843+I843+J843+K843+M843-N843</f>
        <v>55554</v>
      </c>
      <c r="AG843" s="13">
        <f>SUM(O843:AE843)</f>
        <v>27852</v>
      </c>
      <c r="AH843" s="13">
        <f>AF843-AG843</f>
        <v>27702</v>
      </c>
      <c r="AI843" s="12"/>
      <c r="AJ843" s="12"/>
      <c r="AK843" s="12"/>
    </row>
    <row r="844" spans="1:37">
      <c r="A844" s="10">
        <v>127</v>
      </c>
      <c r="B844" s="16">
        <v>2056</v>
      </c>
      <c r="C844" s="12" t="s">
        <v>868</v>
      </c>
      <c r="D844" s="16" t="s">
        <v>23</v>
      </c>
      <c r="E844" s="16"/>
      <c r="F844" s="10" t="s">
        <v>824</v>
      </c>
      <c r="G844" s="12" t="s">
        <v>62</v>
      </c>
      <c r="H844" s="9"/>
      <c r="I844" s="12"/>
      <c r="J844" s="12">
        <v>150</v>
      </c>
      <c r="K844" s="12"/>
      <c r="L844" s="12">
        <v>13851</v>
      </c>
      <c r="M844" s="11">
        <f>L844*4+AI844-AJ844</f>
        <v>55404</v>
      </c>
      <c r="N844" s="13"/>
      <c r="O844" s="9"/>
      <c r="P844" s="12"/>
      <c r="Q844" s="12"/>
      <c r="R844" s="12"/>
      <c r="S844" s="12">
        <v>14001</v>
      </c>
      <c r="T844" s="12"/>
      <c r="U844" s="12"/>
      <c r="V844" s="12">
        <v>13851</v>
      </c>
      <c r="W844" s="12"/>
      <c r="X844" s="12"/>
      <c r="Y844" s="12"/>
      <c r="Z844" s="12"/>
      <c r="AA844" s="12"/>
      <c r="AB844" s="12"/>
      <c r="AC844" s="12"/>
      <c r="AD844" s="12"/>
      <c r="AE844" s="12"/>
      <c r="AF844" s="13">
        <f>H844+I844+J844+K844+M844-N844</f>
        <v>55554</v>
      </c>
      <c r="AG844" s="13">
        <f>SUM(O844:AE844)</f>
        <v>27852</v>
      </c>
      <c r="AH844" s="13">
        <f>AF844-AG844</f>
        <v>27702</v>
      </c>
      <c r="AI844" s="12"/>
      <c r="AJ844" s="12"/>
      <c r="AK844" s="12"/>
    </row>
    <row r="845" spans="1:37">
      <c r="A845" s="10">
        <v>128</v>
      </c>
      <c r="B845" s="11">
        <v>1560</v>
      </c>
      <c r="C845" s="10" t="s">
        <v>869</v>
      </c>
      <c r="D845" s="11" t="s">
        <v>28</v>
      </c>
      <c r="E845" s="11"/>
      <c r="F845" s="10" t="s">
        <v>824</v>
      </c>
      <c r="G845" s="11" t="s">
        <v>62</v>
      </c>
      <c r="H845" s="9"/>
      <c r="I845" s="12"/>
      <c r="J845" s="12">
        <v>150</v>
      </c>
      <c r="K845" s="12"/>
      <c r="L845" s="12">
        <v>13851</v>
      </c>
      <c r="M845" s="11">
        <f>L845*4+AI845-AJ845</f>
        <v>55404</v>
      </c>
      <c r="N845" s="13"/>
      <c r="O845" s="12"/>
      <c r="P845" s="12"/>
      <c r="Q845" s="12"/>
      <c r="R845" s="12"/>
      <c r="S845" s="12"/>
      <c r="T845" s="12"/>
      <c r="U845" s="12">
        <v>14001</v>
      </c>
      <c r="V845" s="12"/>
      <c r="W845" s="12"/>
      <c r="X845" s="12"/>
      <c r="Y845" s="12"/>
      <c r="Z845" s="12"/>
      <c r="AA845" s="12"/>
      <c r="AB845" s="12"/>
      <c r="AC845" s="12"/>
      <c r="AD845" s="12"/>
      <c r="AE845" s="12"/>
      <c r="AF845" s="13">
        <f>H845+I845+J845+K845+M845-N845</f>
        <v>55554</v>
      </c>
      <c r="AG845" s="13">
        <f>SUM(O845:AE845)</f>
        <v>14001</v>
      </c>
      <c r="AH845" s="13">
        <f>AF845-AG845</f>
        <v>41553</v>
      </c>
      <c r="AI845" s="12"/>
      <c r="AJ845" s="12"/>
      <c r="AK845" s="12"/>
    </row>
    <row r="846" spans="1:37">
      <c r="A846" s="10">
        <v>129</v>
      </c>
      <c r="B846" s="11">
        <v>709</v>
      </c>
      <c r="C846" s="10" t="s">
        <v>870</v>
      </c>
      <c r="D846" s="10" t="s">
        <v>28</v>
      </c>
      <c r="E846" s="10"/>
      <c r="F846" s="10" t="s">
        <v>824</v>
      </c>
      <c r="G846" s="10" t="s">
        <v>62</v>
      </c>
      <c r="H846" s="9"/>
      <c r="I846" s="12"/>
      <c r="J846" s="12">
        <v>150</v>
      </c>
      <c r="K846" s="12"/>
      <c r="L846" s="12">
        <v>13851</v>
      </c>
      <c r="M846" s="11">
        <f>L846*4+AI846-AJ846</f>
        <v>55404</v>
      </c>
      <c r="N846" s="13"/>
      <c r="O846" s="12"/>
      <c r="P846" s="12"/>
      <c r="Q846" s="12"/>
      <c r="R846" s="12"/>
      <c r="S846" s="12"/>
      <c r="T846" s="12"/>
      <c r="U846" s="12">
        <v>14001</v>
      </c>
      <c r="V846" s="12"/>
      <c r="W846" s="12"/>
      <c r="X846" s="12"/>
      <c r="Y846" s="12"/>
      <c r="Z846" s="12"/>
      <c r="AA846" s="12"/>
      <c r="AB846" s="12"/>
      <c r="AC846" s="12"/>
      <c r="AD846" s="12"/>
      <c r="AE846" s="12"/>
      <c r="AF846" s="13">
        <f>H846+I846+J846+K846+M846-N846</f>
        <v>55554</v>
      </c>
      <c r="AG846" s="13">
        <f>SUM(O846:AE846)</f>
        <v>14001</v>
      </c>
      <c r="AH846" s="13">
        <f>AF846-AG846</f>
        <v>41553</v>
      </c>
      <c r="AI846" s="12"/>
      <c r="AJ846" s="12"/>
      <c r="AK846" s="12"/>
    </row>
    <row r="847" spans="1:37">
      <c r="A847" s="10">
        <v>130</v>
      </c>
      <c r="B847" s="11">
        <v>1062</v>
      </c>
      <c r="C847" s="10" t="s">
        <v>871</v>
      </c>
      <c r="D847" s="11" t="s">
        <v>23</v>
      </c>
      <c r="E847" s="11"/>
      <c r="F847" s="10" t="s">
        <v>824</v>
      </c>
      <c r="G847" s="11" t="s">
        <v>62</v>
      </c>
      <c r="H847" s="9"/>
      <c r="I847" s="12"/>
      <c r="J847" s="12">
        <v>150</v>
      </c>
      <c r="K847" s="12"/>
      <c r="L847" s="12">
        <v>13851</v>
      </c>
      <c r="M847" s="11">
        <f>L847*4+AI847-AJ847</f>
        <v>55404</v>
      </c>
      <c r="N847" s="13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  <c r="AA847" s="12"/>
      <c r="AB847" s="12"/>
      <c r="AC847" s="12"/>
      <c r="AD847" s="12"/>
      <c r="AE847" s="12"/>
      <c r="AF847" s="13">
        <f>H847+I847+J847+K847+M847-N847</f>
        <v>55554</v>
      </c>
      <c r="AG847" s="13">
        <f>SUM(O847:AE847)</f>
        <v>0</v>
      </c>
      <c r="AH847" s="13">
        <f>AF847-AG847</f>
        <v>55554</v>
      </c>
      <c r="AI847" s="12"/>
      <c r="AJ847" s="12"/>
      <c r="AK847" s="12"/>
    </row>
    <row r="848" spans="1:37">
      <c r="A848" s="10">
        <v>131</v>
      </c>
      <c r="B848" s="16">
        <v>2053</v>
      </c>
      <c r="C848" s="12" t="s">
        <v>872</v>
      </c>
      <c r="D848" s="16" t="s">
        <v>23</v>
      </c>
      <c r="E848" s="16"/>
      <c r="F848" s="10" t="s">
        <v>824</v>
      </c>
      <c r="G848" s="12" t="s">
        <v>62</v>
      </c>
      <c r="H848" s="9"/>
      <c r="I848" s="12"/>
      <c r="J848" s="12">
        <v>150</v>
      </c>
      <c r="K848" s="12"/>
      <c r="L848" s="12">
        <v>13851</v>
      </c>
      <c r="M848" s="11">
        <f>L848*4+AI848-AJ848</f>
        <v>55404</v>
      </c>
      <c r="N848" s="13"/>
      <c r="O848" s="12"/>
      <c r="P848" s="12"/>
      <c r="Q848" s="12"/>
      <c r="R848" s="12"/>
      <c r="S848" s="12">
        <v>14001</v>
      </c>
      <c r="T848" s="12"/>
      <c r="U848" s="12"/>
      <c r="V848" s="12">
        <v>13851</v>
      </c>
      <c r="W848" s="12"/>
      <c r="X848" s="12"/>
      <c r="Y848" s="12"/>
      <c r="Z848" s="12"/>
      <c r="AA848" s="12"/>
      <c r="AB848" s="12"/>
      <c r="AC848" s="12"/>
      <c r="AD848" s="12"/>
      <c r="AE848" s="12"/>
      <c r="AF848" s="13">
        <f>H848+I848+J848+K848+M848-N848</f>
        <v>55554</v>
      </c>
      <c r="AG848" s="13">
        <f>SUM(O848:AE848)</f>
        <v>27852</v>
      </c>
      <c r="AH848" s="13">
        <f>AF848-AG848</f>
        <v>27702</v>
      </c>
      <c r="AI848" s="12"/>
      <c r="AJ848" s="12"/>
      <c r="AK848" s="12"/>
    </row>
    <row r="849" spans="1:37">
      <c r="A849" s="10">
        <v>132</v>
      </c>
      <c r="B849" s="11">
        <v>1937</v>
      </c>
      <c r="C849" s="10" t="s">
        <v>873</v>
      </c>
      <c r="D849" s="11" t="s">
        <v>23</v>
      </c>
      <c r="E849" s="11"/>
      <c r="F849" s="10" t="s">
        <v>824</v>
      </c>
      <c r="G849" s="11" t="s">
        <v>62</v>
      </c>
      <c r="H849" s="9"/>
      <c r="I849" s="12"/>
      <c r="J849" s="12">
        <v>150</v>
      </c>
      <c r="K849" s="12"/>
      <c r="L849" s="12">
        <v>13851</v>
      </c>
      <c r="M849" s="11">
        <f>L849*4+AI849-AJ849</f>
        <v>55404</v>
      </c>
      <c r="N849" s="13">
        <v>2770</v>
      </c>
      <c r="O849" s="12"/>
      <c r="P849" s="12"/>
      <c r="Q849" s="12"/>
      <c r="R849" s="12"/>
      <c r="S849" s="12"/>
      <c r="T849" s="12">
        <v>52784</v>
      </c>
      <c r="U849" s="12"/>
      <c r="V849" s="12"/>
      <c r="W849" s="12"/>
      <c r="X849" s="12"/>
      <c r="Y849" s="12"/>
      <c r="Z849" s="12"/>
      <c r="AA849" s="12"/>
      <c r="AB849" s="12"/>
      <c r="AC849" s="12"/>
      <c r="AD849" s="12"/>
      <c r="AE849" s="12"/>
      <c r="AF849" s="13">
        <f>H849+I849+J849+K849+M849-N849</f>
        <v>52784</v>
      </c>
      <c r="AG849" s="13">
        <f>SUM(O849:AE849)</f>
        <v>52784</v>
      </c>
      <c r="AH849" s="13">
        <f>AF849-AG849</f>
        <v>0</v>
      </c>
      <c r="AI849" s="12"/>
      <c r="AJ849" s="12"/>
      <c r="AK849" s="12"/>
    </row>
    <row r="850" spans="1:37">
      <c r="A850" s="10">
        <v>133</v>
      </c>
      <c r="B850" s="11">
        <v>1534</v>
      </c>
      <c r="C850" s="10" t="s">
        <v>874</v>
      </c>
      <c r="D850" s="11" t="s">
        <v>23</v>
      </c>
      <c r="E850" s="11"/>
      <c r="F850" s="10" t="s">
        <v>824</v>
      </c>
      <c r="G850" s="11" t="s">
        <v>62</v>
      </c>
      <c r="H850" s="9"/>
      <c r="I850" s="12"/>
      <c r="J850" s="12">
        <v>150</v>
      </c>
      <c r="K850" s="12"/>
      <c r="L850" s="12">
        <v>13851</v>
      </c>
      <c r="M850" s="11">
        <f>L850*4+AI850-AJ850</f>
        <v>55404</v>
      </c>
      <c r="N850" s="13"/>
      <c r="O850" s="12"/>
      <c r="P850" s="12"/>
      <c r="Q850" s="12"/>
      <c r="R850" s="12"/>
      <c r="S850" s="12">
        <v>14001</v>
      </c>
      <c r="T850" s="12"/>
      <c r="U850" s="12"/>
      <c r="V850" s="12">
        <v>13851</v>
      </c>
      <c r="W850" s="12"/>
      <c r="X850" s="12"/>
      <c r="Y850" s="12"/>
      <c r="Z850" s="12"/>
      <c r="AA850" s="12"/>
      <c r="AB850" s="12"/>
      <c r="AC850" s="12"/>
      <c r="AD850" s="12"/>
      <c r="AE850" s="12"/>
      <c r="AF850" s="13">
        <f>H850+I850+J850+K850+M850-N850</f>
        <v>55554</v>
      </c>
      <c r="AG850" s="13">
        <f>SUM(O850:AE850)</f>
        <v>27852</v>
      </c>
      <c r="AH850" s="13">
        <f>AF850-AG850</f>
        <v>27702</v>
      </c>
      <c r="AI850" s="12"/>
      <c r="AJ850" s="12"/>
      <c r="AK850" s="12"/>
    </row>
    <row r="851" spans="1:37">
      <c r="A851" s="10">
        <v>134</v>
      </c>
      <c r="B851" s="11">
        <v>715</v>
      </c>
      <c r="C851" s="10" t="s">
        <v>875</v>
      </c>
      <c r="D851" s="11" t="s">
        <v>23</v>
      </c>
      <c r="E851" s="11"/>
      <c r="F851" s="10" t="s">
        <v>824</v>
      </c>
      <c r="G851" s="11" t="s">
        <v>62</v>
      </c>
      <c r="H851" s="9"/>
      <c r="I851" s="12"/>
      <c r="J851" s="12">
        <v>150</v>
      </c>
      <c r="K851" s="12"/>
      <c r="L851" s="12">
        <v>13851</v>
      </c>
      <c r="M851" s="11">
        <f>L851*4+AI851-AJ851</f>
        <v>55404</v>
      </c>
      <c r="N851" s="13"/>
      <c r="O851" s="12"/>
      <c r="P851" s="12"/>
      <c r="Q851" s="12"/>
      <c r="R851" s="12"/>
      <c r="S851" s="12"/>
      <c r="T851" s="12">
        <v>14001</v>
      </c>
      <c r="U851" s="12"/>
      <c r="V851" s="12"/>
      <c r="W851" s="12"/>
      <c r="X851" s="12"/>
      <c r="Y851" s="12"/>
      <c r="Z851" s="12"/>
      <c r="AA851" s="12"/>
      <c r="AB851" s="12"/>
      <c r="AC851" s="12"/>
      <c r="AD851" s="12"/>
      <c r="AE851" s="12"/>
      <c r="AF851" s="13">
        <f>H851+I851+J851+K851+M851-N851</f>
        <v>55554</v>
      </c>
      <c r="AG851" s="13">
        <f>SUM(O851:AE851)</f>
        <v>14001</v>
      </c>
      <c r="AH851" s="13">
        <f>AF851-AG851</f>
        <v>41553</v>
      </c>
      <c r="AI851" s="12"/>
      <c r="AJ851" s="12"/>
      <c r="AK851" s="12"/>
    </row>
    <row r="852" spans="1:37">
      <c r="A852" s="10">
        <v>135</v>
      </c>
      <c r="B852" s="11">
        <v>1557</v>
      </c>
      <c r="C852" s="10" t="s">
        <v>876</v>
      </c>
      <c r="D852" s="11" t="s">
        <v>28</v>
      </c>
      <c r="E852" s="11"/>
      <c r="F852" s="10" t="s">
        <v>824</v>
      </c>
      <c r="G852" s="11" t="s">
        <v>62</v>
      </c>
      <c r="H852" s="9"/>
      <c r="I852" s="12"/>
      <c r="J852" s="12">
        <v>150</v>
      </c>
      <c r="K852" s="12"/>
      <c r="L852" s="12">
        <v>13851</v>
      </c>
      <c r="M852" s="11">
        <f>L852*4+AI852-AJ852</f>
        <v>55404</v>
      </c>
      <c r="N852" s="13"/>
      <c r="O852" s="12"/>
      <c r="P852" s="12"/>
      <c r="Q852" s="12"/>
      <c r="R852" s="12"/>
      <c r="S852" s="12"/>
      <c r="T852" s="12">
        <v>14001</v>
      </c>
      <c r="U852" s="12"/>
      <c r="V852" s="12"/>
      <c r="W852" s="12"/>
      <c r="X852" s="12"/>
      <c r="Y852" s="12"/>
      <c r="Z852" s="12"/>
      <c r="AA852" s="12"/>
      <c r="AB852" s="12"/>
      <c r="AC852" s="12"/>
      <c r="AD852" s="12"/>
      <c r="AE852" s="12"/>
      <c r="AF852" s="13">
        <f>H852+I852+J852+K852+M852-N852</f>
        <v>55554</v>
      </c>
      <c r="AG852" s="13">
        <f>SUM(O852:AE852)</f>
        <v>14001</v>
      </c>
      <c r="AH852" s="13">
        <f>AF852-AG852</f>
        <v>41553</v>
      </c>
      <c r="AI852" s="12"/>
      <c r="AJ852" s="12"/>
      <c r="AK852" s="12"/>
    </row>
    <row r="853" spans="1:37">
      <c r="A853" s="10">
        <v>136</v>
      </c>
      <c r="B853" s="10">
        <v>1979</v>
      </c>
      <c r="C853" s="10" t="s">
        <v>877</v>
      </c>
      <c r="D853" s="11" t="s">
        <v>28</v>
      </c>
      <c r="E853" s="10"/>
      <c r="F853" s="10" t="s">
        <v>824</v>
      </c>
      <c r="G853" s="10" t="s">
        <v>62</v>
      </c>
      <c r="H853" s="9"/>
      <c r="I853" s="12"/>
      <c r="J853" s="12">
        <v>150</v>
      </c>
      <c r="K853" s="12"/>
      <c r="L853" s="12">
        <v>13851</v>
      </c>
      <c r="M853" s="11">
        <f>L853*4+AI853-AJ853</f>
        <v>55404</v>
      </c>
      <c r="N853" s="13"/>
      <c r="O853" s="12"/>
      <c r="P853" s="12"/>
      <c r="Q853" s="12"/>
      <c r="R853" s="12"/>
      <c r="S853" s="12">
        <v>14001</v>
      </c>
      <c r="T853" s="12"/>
      <c r="U853" s="12"/>
      <c r="V853" s="12"/>
      <c r="W853" s="12"/>
      <c r="X853" s="12"/>
      <c r="Y853" s="12"/>
      <c r="Z853" s="12"/>
      <c r="AA853" s="12"/>
      <c r="AB853" s="12"/>
      <c r="AC853" s="12"/>
      <c r="AD853" s="12"/>
      <c r="AE853" s="12"/>
      <c r="AF853" s="13">
        <f>H853+I853+J853+K853+M853-N853</f>
        <v>55554</v>
      </c>
      <c r="AG853" s="13">
        <f>SUM(O853:AE853)</f>
        <v>14001</v>
      </c>
      <c r="AH853" s="13">
        <f>AF853-AG853</f>
        <v>41553</v>
      </c>
      <c r="AI853" s="12"/>
      <c r="AJ853" s="12"/>
      <c r="AK853" s="12"/>
    </row>
    <row r="854" spans="1:37">
      <c r="A854" s="10">
        <v>137</v>
      </c>
      <c r="B854" s="11">
        <v>719</v>
      </c>
      <c r="C854" s="10" t="s">
        <v>878</v>
      </c>
      <c r="D854" s="11" t="s">
        <v>28</v>
      </c>
      <c r="E854" s="11"/>
      <c r="F854" s="10" t="s">
        <v>824</v>
      </c>
      <c r="G854" s="11" t="s">
        <v>62</v>
      </c>
      <c r="H854" s="9"/>
      <c r="I854" s="12"/>
      <c r="J854" s="12">
        <v>150</v>
      </c>
      <c r="K854" s="12"/>
      <c r="L854" s="12">
        <v>13851</v>
      </c>
      <c r="M854" s="11">
        <f>L854*4+AI854-AJ854</f>
        <v>55404</v>
      </c>
      <c r="N854" s="13"/>
      <c r="O854" s="12"/>
      <c r="P854" s="12"/>
      <c r="Q854" s="12"/>
      <c r="R854" s="12"/>
      <c r="S854" s="12"/>
      <c r="T854" s="12">
        <v>14001</v>
      </c>
      <c r="U854" s="12"/>
      <c r="V854" s="12"/>
      <c r="W854" s="12"/>
      <c r="X854" s="12"/>
      <c r="Y854" s="12"/>
      <c r="Z854" s="12"/>
      <c r="AA854" s="12"/>
      <c r="AB854" s="12"/>
      <c r="AC854" s="12"/>
      <c r="AD854" s="12"/>
      <c r="AE854" s="12"/>
      <c r="AF854" s="13">
        <f>H854+I854+J854+K854+M854-N854</f>
        <v>55554</v>
      </c>
      <c r="AG854" s="13">
        <f>SUM(O854:AE854)</f>
        <v>14001</v>
      </c>
      <c r="AH854" s="13">
        <f>AF854-AG854</f>
        <v>41553</v>
      </c>
      <c r="AI854" s="12"/>
      <c r="AJ854" s="12"/>
      <c r="AK854" s="12"/>
    </row>
    <row r="855" spans="1:37">
      <c r="A855" s="10">
        <v>138</v>
      </c>
      <c r="B855" s="11">
        <v>690</v>
      </c>
      <c r="C855" s="10" t="s">
        <v>879</v>
      </c>
      <c r="D855" s="11" t="s">
        <v>23</v>
      </c>
      <c r="E855" s="11"/>
      <c r="F855" s="10" t="s">
        <v>824</v>
      </c>
      <c r="G855" s="11" t="s">
        <v>62</v>
      </c>
      <c r="H855" s="9"/>
      <c r="I855" s="12"/>
      <c r="J855" s="12">
        <v>150</v>
      </c>
      <c r="K855" s="12"/>
      <c r="L855" s="12">
        <v>13851</v>
      </c>
      <c r="M855" s="11">
        <f>L855*4+AI855-AJ855</f>
        <v>55411</v>
      </c>
      <c r="N855" s="13"/>
      <c r="O855" s="12"/>
      <c r="P855" s="12"/>
      <c r="Q855" s="12"/>
      <c r="R855" s="12"/>
      <c r="S855" s="12"/>
      <c r="T855" s="12"/>
      <c r="U855" s="12"/>
      <c r="V855" s="12">
        <v>13851</v>
      </c>
      <c r="W855" s="12"/>
      <c r="X855" s="12"/>
      <c r="Y855" s="12"/>
      <c r="Z855" s="12"/>
      <c r="AA855" s="12"/>
      <c r="AB855" s="12"/>
      <c r="AC855" s="12"/>
      <c r="AD855" s="12"/>
      <c r="AE855" s="12"/>
      <c r="AF855" s="13">
        <f>H855+I855+J855+K855+M855-N855</f>
        <v>55561</v>
      </c>
      <c r="AG855" s="13">
        <f>SUM(O855:AE855)</f>
        <v>13851</v>
      </c>
      <c r="AH855" s="13">
        <f>AF855-AG855</f>
        <v>41710</v>
      </c>
      <c r="AI855" s="12">
        <v>7</v>
      </c>
      <c r="AJ855" s="12"/>
      <c r="AK855" s="12"/>
    </row>
    <row r="856" spans="1:37">
      <c r="A856" s="10">
        <v>139</v>
      </c>
      <c r="B856" s="11">
        <v>1978</v>
      </c>
      <c r="C856" s="10" t="s">
        <v>880</v>
      </c>
      <c r="D856" s="11" t="s">
        <v>28</v>
      </c>
      <c r="E856" s="11"/>
      <c r="F856" s="10" t="s">
        <v>824</v>
      </c>
      <c r="G856" s="11" t="s">
        <v>62</v>
      </c>
      <c r="H856" s="9"/>
      <c r="I856" s="12"/>
      <c r="J856" s="12">
        <v>150</v>
      </c>
      <c r="K856" s="12"/>
      <c r="L856" s="12">
        <v>13851</v>
      </c>
      <c r="M856" s="11">
        <f>L856*4+AI856-AJ856</f>
        <v>55404</v>
      </c>
      <c r="N856" s="13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  <c r="AA856" s="12"/>
      <c r="AB856" s="12"/>
      <c r="AC856" s="12"/>
      <c r="AD856" s="12"/>
      <c r="AE856" s="12"/>
      <c r="AF856" s="13">
        <f>H856+I856+J856+K856+M856-N856</f>
        <v>55554</v>
      </c>
      <c r="AG856" s="13">
        <f>SUM(O856:AE856)</f>
        <v>0</v>
      </c>
      <c r="AH856" s="13">
        <f>AF856-AG856</f>
        <v>55554</v>
      </c>
      <c r="AI856" s="12"/>
      <c r="AJ856" s="12"/>
      <c r="AK856" s="12"/>
    </row>
    <row r="857" spans="1:37">
      <c r="A857" s="10">
        <v>140</v>
      </c>
      <c r="B857" s="10">
        <v>1740</v>
      </c>
      <c r="C857" s="11" t="s">
        <v>881</v>
      </c>
      <c r="D857" s="11" t="s">
        <v>23</v>
      </c>
      <c r="E857" s="11"/>
      <c r="F857" s="10" t="s">
        <v>824</v>
      </c>
      <c r="G857" s="11" t="s">
        <v>62</v>
      </c>
      <c r="H857" s="12"/>
      <c r="I857" s="12"/>
      <c r="J857" s="12">
        <v>150</v>
      </c>
      <c r="K857" s="12"/>
      <c r="L857" s="12">
        <v>13851</v>
      </c>
      <c r="M857" s="11">
        <f>L857*4+AI857-AJ857</f>
        <v>55404</v>
      </c>
      <c r="N857" s="13">
        <v>2770</v>
      </c>
      <c r="O857" s="12"/>
      <c r="P857" s="12"/>
      <c r="Q857" s="12"/>
      <c r="R857" s="12"/>
      <c r="S857" s="12"/>
      <c r="T857" s="12">
        <v>52784</v>
      </c>
      <c r="U857" s="12"/>
      <c r="V857" s="12"/>
      <c r="W857" s="12"/>
      <c r="X857" s="12"/>
      <c r="Y857" s="12"/>
      <c r="Z857" s="12"/>
      <c r="AA857" s="12"/>
      <c r="AB857" s="12"/>
      <c r="AC857" s="12"/>
      <c r="AD857" s="12"/>
      <c r="AE857" s="12"/>
      <c r="AF857" s="13">
        <f>H857+I857+J857+K857+M857-N857</f>
        <v>52784</v>
      </c>
      <c r="AG857" s="13">
        <f>SUM(O857:AE857)</f>
        <v>52784</v>
      </c>
      <c r="AH857" s="13">
        <f>AF857-AG857</f>
        <v>0</v>
      </c>
      <c r="AI857" s="12"/>
      <c r="AJ857" s="12"/>
      <c r="AK857" s="12"/>
    </row>
    <row r="858" spans="1:37">
      <c r="A858" s="10">
        <v>141</v>
      </c>
      <c r="B858" s="11">
        <v>1210</v>
      </c>
      <c r="C858" s="10" t="s">
        <v>882</v>
      </c>
      <c r="D858" s="11" t="s">
        <v>23</v>
      </c>
      <c r="E858" s="11"/>
      <c r="F858" s="10" t="s">
        <v>824</v>
      </c>
      <c r="G858" s="11" t="s">
        <v>62</v>
      </c>
      <c r="H858" s="9"/>
      <c r="I858" s="12"/>
      <c r="J858" s="12">
        <v>150</v>
      </c>
      <c r="K858" s="12"/>
      <c r="L858" s="12">
        <v>13851</v>
      </c>
      <c r="M858" s="11">
        <f>L858*4+AI858-AJ858</f>
        <v>55404</v>
      </c>
      <c r="N858" s="13"/>
      <c r="O858" s="12"/>
      <c r="P858" s="12"/>
      <c r="Q858" s="12"/>
      <c r="R858" s="12"/>
      <c r="S858" s="12"/>
      <c r="T858" s="12"/>
      <c r="U858" s="12">
        <v>14001</v>
      </c>
      <c r="V858" s="12"/>
      <c r="W858" s="12"/>
      <c r="X858" s="12"/>
      <c r="Y858" s="12"/>
      <c r="Z858" s="12"/>
      <c r="AA858" s="12"/>
      <c r="AB858" s="12"/>
      <c r="AC858" s="12"/>
      <c r="AD858" s="12"/>
      <c r="AE858" s="12"/>
      <c r="AF858" s="13">
        <f>H858+I858+J858+K858+M858-N858</f>
        <v>55554</v>
      </c>
      <c r="AG858" s="13">
        <f>SUM(O858:AE858)</f>
        <v>14001</v>
      </c>
      <c r="AH858" s="13">
        <f>AF858-AG858</f>
        <v>41553</v>
      </c>
      <c r="AI858" s="12"/>
      <c r="AJ858" s="12"/>
      <c r="AK858" s="12"/>
    </row>
    <row r="859" spans="1:37">
      <c r="A859" s="10">
        <v>142</v>
      </c>
      <c r="B859" s="27">
        <v>1533</v>
      </c>
      <c r="C859" s="26" t="s">
        <v>883</v>
      </c>
      <c r="D859" s="27" t="s">
        <v>28</v>
      </c>
      <c r="E859" s="27"/>
      <c r="F859" s="26" t="s">
        <v>824</v>
      </c>
      <c r="G859" s="27" t="s">
        <v>62</v>
      </c>
      <c r="H859" s="9"/>
      <c r="I859" s="12"/>
      <c r="J859" s="12">
        <v>150</v>
      </c>
      <c r="K859" s="12"/>
      <c r="L859" s="12">
        <v>6926</v>
      </c>
      <c r="M859" s="11">
        <f>L859*4+AI859-AJ859</f>
        <v>27704</v>
      </c>
      <c r="N859" s="13">
        <v>1387</v>
      </c>
      <c r="O859" s="12"/>
      <c r="P859" s="12"/>
      <c r="Q859" s="12"/>
      <c r="R859" s="12"/>
      <c r="S859" s="12">
        <v>26467</v>
      </c>
      <c r="T859" s="12"/>
      <c r="U859" s="12"/>
      <c r="V859" s="12"/>
      <c r="W859" s="12"/>
      <c r="X859" s="12"/>
      <c r="Y859" s="12"/>
      <c r="Z859" s="12"/>
      <c r="AA859" s="12"/>
      <c r="AB859" s="12"/>
      <c r="AC859" s="12"/>
      <c r="AD859" s="12"/>
      <c r="AE859" s="12"/>
      <c r="AF859" s="13">
        <f>H859+I859+J859+K859+M859-N859</f>
        <v>26467</v>
      </c>
      <c r="AG859" s="13">
        <f>SUM(O859:AE859)</f>
        <v>26467</v>
      </c>
      <c r="AH859" s="13">
        <f>AF859-AG859</f>
        <v>0</v>
      </c>
      <c r="AI859" s="12"/>
      <c r="AJ859" s="12"/>
      <c r="AK859" s="12"/>
    </row>
    <row r="860" spans="1:37">
      <c r="A860" s="10">
        <v>143</v>
      </c>
      <c r="B860" s="11">
        <v>689</v>
      </c>
      <c r="C860" s="10" t="s">
        <v>884</v>
      </c>
      <c r="D860" s="11" t="s">
        <v>23</v>
      </c>
      <c r="E860" s="11"/>
      <c r="F860" s="10" t="s">
        <v>824</v>
      </c>
      <c r="G860" s="11" t="s">
        <v>62</v>
      </c>
      <c r="H860" s="9"/>
      <c r="I860" s="12"/>
      <c r="J860" s="12">
        <v>150</v>
      </c>
      <c r="K860" s="12"/>
      <c r="L860" s="12">
        <v>13851</v>
      </c>
      <c r="M860" s="11">
        <f>L860*4+AI860-AJ860</f>
        <v>55404</v>
      </c>
      <c r="N860" s="13"/>
      <c r="O860" s="12"/>
      <c r="P860" s="12"/>
      <c r="Q860" s="12"/>
      <c r="R860" s="12"/>
      <c r="S860" s="12">
        <v>14001</v>
      </c>
      <c r="T860" s="12"/>
      <c r="U860" s="12"/>
      <c r="V860" s="12"/>
      <c r="W860" s="12"/>
      <c r="X860" s="12"/>
      <c r="Y860" s="12"/>
      <c r="Z860" s="12"/>
      <c r="AA860" s="12"/>
      <c r="AB860" s="12"/>
      <c r="AC860" s="12"/>
      <c r="AD860" s="12"/>
      <c r="AE860" s="12"/>
      <c r="AF860" s="13">
        <f>H860+I860+J860+K860+M860-N860</f>
        <v>55554</v>
      </c>
      <c r="AG860" s="13">
        <f>SUM(O860:AE860)</f>
        <v>14001</v>
      </c>
      <c r="AH860" s="13">
        <f>AF860-AG860</f>
        <v>41553</v>
      </c>
      <c r="AI860" s="12"/>
      <c r="AJ860" s="12"/>
      <c r="AK860" s="12"/>
    </row>
    <row r="861" spans="1:37">
      <c r="A861" s="10">
        <v>144</v>
      </c>
      <c r="B861" s="11">
        <v>969</v>
      </c>
      <c r="C861" s="10" t="s">
        <v>885</v>
      </c>
      <c r="D861" s="11" t="s">
        <v>28</v>
      </c>
      <c r="E861" s="11"/>
      <c r="F861" s="10" t="s">
        <v>824</v>
      </c>
      <c r="G861" s="11" t="s">
        <v>62</v>
      </c>
      <c r="H861" s="9"/>
      <c r="I861" s="12"/>
      <c r="J861" s="12">
        <v>150</v>
      </c>
      <c r="K861" s="12"/>
      <c r="L861" s="12">
        <v>13851</v>
      </c>
      <c r="M861" s="11">
        <f>L861*4+AI861-AJ861</f>
        <v>55404</v>
      </c>
      <c r="N861" s="13"/>
      <c r="O861" s="12"/>
      <c r="P861" s="12"/>
      <c r="Q861" s="12"/>
      <c r="R861" s="12"/>
      <c r="S861" s="12"/>
      <c r="T861" s="12"/>
      <c r="U861" s="12">
        <v>14001</v>
      </c>
      <c r="V861" s="12"/>
      <c r="W861" s="12"/>
      <c r="X861" s="12"/>
      <c r="Y861" s="12"/>
      <c r="Z861" s="12"/>
      <c r="AA861" s="12"/>
      <c r="AB861" s="12"/>
      <c r="AC861" s="12"/>
      <c r="AD861" s="12"/>
      <c r="AE861" s="12"/>
      <c r="AF861" s="13">
        <f>H861+I861+J861+K861+M861-N861</f>
        <v>55554</v>
      </c>
      <c r="AG861" s="13">
        <f>SUM(O861:AE861)</f>
        <v>14001</v>
      </c>
      <c r="AH861" s="13">
        <f>AF861-AG861</f>
        <v>41553</v>
      </c>
      <c r="AI861" s="12"/>
      <c r="AJ861" s="12"/>
      <c r="AK861" s="12"/>
    </row>
    <row r="862" spans="1:37">
      <c r="A862" s="10">
        <v>145</v>
      </c>
      <c r="B862" s="11">
        <v>1067</v>
      </c>
      <c r="C862" s="10" t="s">
        <v>886</v>
      </c>
      <c r="D862" s="11" t="s">
        <v>28</v>
      </c>
      <c r="E862" s="11"/>
      <c r="F862" s="10" t="s">
        <v>824</v>
      </c>
      <c r="G862" s="11" t="s">
        <v>62</v>
      </c>
      <c r="H862" s="9"/>
      <c r="I862" s="12"/>
      <c r="J862" s="12">
        <v>150</v>
      </c>
      <c r="K862" s="12"/>
      <c r="L862" s="12">
        <v>13851</v>
      </c>
      <c r="M862" s="11">
        <f>L862*4+AI862-AJ862</f>
        <v>55404</v>
      </c>
      <c r="N862" s="13"/>
      <c r="O862" s="12"/>
      <c r="P862" s="12"/>
      <c r="Q862" s="12"/>
      <c r="R862" s="12"/>
      <c r="S862" s="12">
        <v>14001</v>
      </c>
      <c r="T862" s="12"/>
      <c r="U862" s="12"/>
      <c r="V862" s="12">
        <v>13851</v>
      </c>
      <c r="W862" s="12"/>
      <c r="X862" s="12"/>
      <c r="Y862" s="12"/>
      <c r="Z862" s="12"/>
      <c r="AA862" s="12"/>
      <c r="AB862" s="12"/>
      <c r="AC862" s="12"/>
      <c r="AD862" s="12"/>
      <c r="AE862" s="12"/>
      <c r="AF862" s="13">
        <f>H862+I862+J862+K862+M862-N862</f>
        <v>55554</v>
      </c>
      <c r="AG862" s="13">
        <f>SUM(O862:AE862)</f>
        <v>27852</v>
      </c>
      <c r="AH862" s="13">
        <f>AF862-AG862</f>
        <v>27702</v>
      </c>
      <c r="AI862" s="12"/>
      <c r="AJ862" s="12"/>
      <c r="AK862" s="12"/>
    </row>
    <row r="863" spans="1:37">
      <c r="A863" s="10">
        <v>146</v>
      </c>
      <c r="B863" s="11">
        <v>1168</v>
      </c>
      <c r="C863" s="10" t="s">
        <v>887</v>
      </c>
      <c r="D863" s="11" t="s">
        <v>23</v>
      </c>
      <c r="E863" s="11"/>
      <c r="F863" s="10" t="s">
        <v>824</v>
      </c>
      <c r="G863" s="11" t="s">
        <v>62</v>
      </c>
      <c r="H863" s="9"/>
      <c r="I863" s="12"/>
      <c r="J863" s="12">
        <v>150</v>
      </c>
      <c r="K863" s="12"/>
      <c r="L863" s="12">
        <v>13851</v>
      </c>
      <c r="M863" s="11">
        <f>L863*4+AI863-AJ863</f>
        <v>55404</v>
      </c>
      <c r="N863" s="13"/>
      <c r="O863" s="12"/>
      <c r="P863" s="12"/>
      <c r="Q863" s="12"/>
      <c r="R863" s="12"/>
      <c r="S863" s="12"/>
      <c r="T863" s="12">
        <v>14001</v>
      </c>
      <c r="U863" s="12"/>
      <c r="V863" s="12"/>
      <c r="W863" s="12"/>
      <c r="X863" s="12"/>
      <c r="Y863" s="12"/>
      <c r="Z863" s="12"/>
      <c r="AA863" s="12"/>
      <c r="AB863" s="12"/>
      <c r="AC863" s="12"/>
      <c r="AD863" s="12"/>
      <c r="AE863" s="12"/>
      <c r="AF863" s="13">
        <f>H863+I863+J863+K863+M863-N863</f>
        <v>55554</v>
      </c>
      <c r="AG863" s="13">
        <f>SUM(O863:AE863)</f>
        <v>14001</v>
      </c>
      <c r="AH863" s="13">
        <f>AF863-AG863</f>
        <v>41553</v>
      </c>
      <c r="AI863" s="12"/>
      <c r="AJ863" s="12"/>
      <c r="AK863" s="12"/>
    </row>
    <row r="864" spans="1:37">
      <c r="A864" s="10">
        <v>147</v>
      </c>
      <c r="B864" s="11">
        <v>652</v>
      </c>
      <c r="C864" s="10" t="s">
        <v>888</v>
      </c>
      <c r="D864" s="10" t="s">
        <v>28</v>
      </c>
      <c r="E864" s="10"/>
      <c r="F864" s="10" t="s">
        <v>889</v>
      </c>
      <c r="G864" s="10" t="s">
        <v>26</v>
      </c>
      <c r="H864" s="9"/>
      <c r="I864" s="12"/>
      <c r="J864" s="12">
        <v>150</v>
      </c>
      <c r="K864" s="12">
        <v>2400</v>
      </c>
      <c r="L864" s="12">
        <v>17716</v>
      </c>
      <c r="M864" s="11">
        <f>L864*4+AI864-AJ864</f>
        <v>70314</v>
      </c>
      <c r="N864" s="13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  <c r="AA864" s="12"/>
      <c r="AB864" s="12"/>
      <c r="AC864" s="12"/>
      <c r="AD864" s="12"/>
      <c r="AE864" s="12"/>
      <c r="AF864" s="13">
        <f>H864+I864+J864+K864+M864-N864</f>
        <v>72864</v>
      </c>
      <c r="AG864" s="13">
        <f>SUM(O864:AE864)</f>
        <v>0</v>
      </c>
      <c r="AH864" s="13">
        <f>AF864-AG864</f>
        <v>72864</v>
      </c>
      <c r="AI864" s="12"/>
      <c r="AJ864" s="12">
        <v>550</v>
      </c>
      <c r="AK864" s="12"/>
    </row>
    <row r="865" spans="1:37">
      <c r="A865" s="10">
        <v>148</v>
      </c>
      <c r="B865" s="10">
        <v>1968</v>
      </c>
      <c r="C865" s="10" t="s">
        <v>890</v>
      </c>
      <c r="D865" s="10" t="s">
        <v>23</v>
      </c>
      <c r="E865" s="10"/>
      <c r="F865" s="10" t="s">
        <v>889</v>
      </c>
      <c r="G865" s="10" t="s">
        <v>26</v>
      </c>
      <c r="H865" s="9"/>
      <c r="I865" s="12"/>
      <c r="J865" s="12">
        <v>150</v>
      </c>
      <c r="K865" s="12">
        <v>2400</v>
      </c>
      <c r="L865" s="12">
        <v>17716</v>
      </c>
      <c r="M865" s="11">
        <f>L865*4+AI865-AJ865</f>
        <v>70864</v>
      </c>
      <c r="N865" s="13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  <c r="AA865" s="12"/>
      <c r="AB865" s="12"/>
      <c r="AC865" s="12"/>
      <c r="AD865" s="12"/>
      <c r="AE865" s="12"/>
      <c r="AF865" s="13">
        <f>H865+I865+J865+K865+M865-N865</f>
        <v>73414</v>
      </c>
      <c r="AG865" s="13">
        <f>SUM(O865:AE865)</f>
        <v>0</v>
      </c>
      <c r="AH865" s="13">
        <f>AF865-AG865</f>
        <v>73414</v>
      </c>
      <c r="AI865" s="12"/>
      <c r="AJ865" s="12"/>
      <c r="AK865" s="12"/>
    </row>
    <row r="866" spans="1:37">
      <c r="A866" s="10">
        <v>149</v>
      </c>
      <c r="B866" s="11">
        <v>1054</v>
      </c>
      <c r="C866" s="10" t="s">
        <v>891</v>
      </c>
      <c r="D866" s="10" t="s">
        <v>23</v>
      </c>
      <c r="E866" s="10"/>
      <c r="F866" s="10" t="s">
        <v>889</v>
      </c>
      <c r="G866" s="10" t="s">
        <v>26</v>
      </c>
      <c r="H866" s="9"/>
      <c r="I866" s="12"/>
      <c r="J866" s="12">
        <v>150</v>
      </c>
      <c r="K866" s="12">
        <v>2400</v>
      </c>
      <c r="L866" s="12">
        <v>17716</v>
      </c>
      <c r="M866" s="11">
        <f>L866*4+AI866-AJ866</f>
        <v>70864</v>
      </c>
      <c r="N866" s="13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  <c r="AA866" s="12"/>
      <c r="AB866" s="12"/>
      <c r="AC866" s="12"/>
      <c r="AD866" s="12"/>
      <c r="AE866" s="12"/>
      <c r="AF866" s="13">
        <f>H866+I866+J866+K866+M866-N866</f>
        <v>73414</v>
      </c>
      <c r="AG866" s="13">
        <f>SUM(O866:AE866)</f>
        <v>0</v>
      </c>
      <c r="AH866" s="13">
        <f>AF866-AG866</f>
        <v>73414</v>
      </c>
      <c r="AI866" s="12"/>
      <c r="AJ866" s="12"/>
      <c r="AK866" s="12"/>
    </row>
    <row r="867" spans="1:37">
      <c r="A867" s="10">
        <v>150</v>
      </c>
      <c r="B867" s="11">
        <v>574</v>
      </c>
      <c r="C867" s="10" t="s">
        <v>892</v>
      </c>
      <c r="D867" s="10" t="s">
        <v>28</v>
      </c>
      <c r="E867" s="10"/>
      <c r="F867" s="10" t="s">
        <v>889</v>
      </c>
      <c r="G867" s="10" t="s">
        <v>26</v>
      </c>
      <c r="H867" s="9"/>
      <c r="I867" s="12"/>
      <c r="J867" s="12">
        <v>150</v>
      </c>
      <c r="K867" s="12">
        <v>2400</v>
      </c>
      <c r="L867" s="12">
        <v>17716</v>
      </c>
      <c r="M867" s="11">
        <f>L867*4+AI867-AJ867</f>
        <v>70864</v>
      </c>
      <c r="N867" s="13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  <c r="AA867" s="12"/>
      <c r="AB867" s="12"/>
      <c r="AC867" s="12"/>
      <c r="AD867" s="12"/>
      <c r="AE867" s="12"/>
      <c r="AF867" s="13">
        <f>H867+I867+J867+K867+M867-N867</f>
        <v>73414</v>
      </c>
      <c r="AG867" s="13">
        <f>SUM(O867:AE867)</f>
        <v>0</v>
      </c>
      <c r="AH867" s="13">
        <f>AF867-AG867</f>
        <v>73414</v>
      </c>
      <c r="AI867" s="12"/>
      <c r="AJ867" s="12"/>
      <c r="AK867" s="12"/>
    </row>
    <row r="868" spans="1:37">
      <c r="A868" s="10">
        <v>151</v>
      </c>
      <c r="B868" s="11">
        <v>656</v>
      </c>
      <c r="C868" s="10" t="s">
        <v>893</v>
      </c>
      <c r="D868" s="10" t="s">
        <v>28</v>
      </c>
      <c r="E868" s="10"/>
      <c r="F868" s="10" t="s">
        <v>889</v>
      </c>
      <c r="G868" s="10" t="s">
        <v>26</v>
      </c>
      <c r="H868" s="9"/>
      <c r="I868" s="12"/>
      <c r="J868" s="12">
        <v>150</v>
      </c>
      <c r="K868" s="12">
        <v>2400</v>
      </c>
      <c r="L868" s="12">
        <v>17716</v>
      </c>
      <c r="M868" s="11">
        <f>L868*4+AI868-AJ868</f>
        <v>70414</v>
      </c>
      <c r="N868" s="13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  <c r="AA868" s="12"/>
      <c r="AB868" s="12"/>
      <c r="AC868" s="12"/>
      <c r="AD868" s="12"/>
      <c r="AE868" s="12"/>
      <c r="AF868" s="13">
        <f>H868+I868+J868+K868+M868-N868</f>
        <v>72964</v>
      </c>
      <c r="AG868" s="13">
        <f>SUM(O868:AE868)</f>
        <v>0</v>
      </c>
      <c r="AH868" s="13">
        <f>AF868-AG868</f>
        <v>72964</v>
      </c>
      <c r="AI868" s="12"/>
      <c r="AJ868" s="12">
        <v>450</v>
      </c>
      <c r="AK868" s="12"/>
    </row>
    <row r="869" spans="1:37">
      <c r="A869" s="10">
        <v>152</v>
      </c>
      <c r="B869" s="11">
        <v>1661</v>
      </c>
      <c r="C869" s="10" t="s">
        <v>894</v>
      </c>
      <c r="D869" s="10" t="s">
        <v>28</v>
      </c>
      <c r="E869" s="10"/>
      <c r="F869" s="10" t="s">
        <v>889</v>
      </c>
      <c r="G869" s="10" t="s">
        <v>26</v>
      </c>
      <c r="H869" s="9"/>
      <c r="I869" s="12"/>
      <c r="J869" s="12">
        <v>150</v>
      </c>
      <c r="K869" s="12">
        <v>2400</v>
      </c>
      <c r="L869" s="12">
        <v>17716</v>
      </c>
      <c r="M869" s="11">
        <f>L869*4+AI869-AJ869</f>
        <v>70864</v>
      </c>
      <c r="N869" s="13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  <c r="AA869" s="12"/>
      <c r="AB869" s="12"/>
      <c r="AC869" s="12"/>
      <c r="AD869" s="12"/>
      <c r="AE869" s="12"/>
      <c r="AF869" s="13">
        <f>H869+I869+J869+K869+M869-N869</f>
        <v>73414</v>
      </c>
      <c r="AG869" s="13">
        <f>SUM(O869:AE869)</f>
        <v>0</v>
      </c>
      <c r="AH869" s="13">
        <f>AF869-AG869</f>
        <v>73414</v>
      </c>
      <c r="AI869" s="12"/>
      <c r="AJ869" s="12"/>
      <c r="AK869" s="12"/>
    </row>
    <row r="870" spans="1:37">
      <c r="A870" s="10">
        <v>153</v>
      </c>
      <c r="B870" s="11">
        <v>602</v>
      </c>
      <c r="C870" s="10" t="s">
        <v>895</v>
      </c>
      <c r="D870" s="10" t="s">
        <v>28</v>
      </c>
      <c r="E870" s="10"/>
      <c r="F870" s="10" t="s">
        <v>889</v>
      </c>
      <c r="G870" s="10" t="s">
        <v>26</v>
      </c>
      <c r="H870" s="9"/>
      <c r="I870" s="12"/>
      <c r="J870" s="12">
        <v>150</v>
      </c>
      <c r="K870" s="12">
        <v>2400</v>
      </c>
      <c r="L870" s="12">
        <v>17716</v>
      </c>
      <c r="M870" s="11">
        <f>L870*4+AI870-AJ870</f>
        <v>70864</v>
      </c>
      <c r="N870" s="13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  <c r="AA870" s="12"/>
      <c r="AB870" s="12"/>
      <c r="AC870" s="12"/>
      <c r="AD870" s="12"/>
      <c r="AE870" s="12"/>
      <c r="AF870" s="13">
        <f>H870+I870+J870+K870+M870-N870</f>
        <v>73414</v>
      </c>
      <c r="AG870" s="13">
        <f>SUM(O870:AE870)</f>
        <v>0</v>
      </c>
      <c r="AH870" s="13">
        <f>AF870-AG870</f>
        <v>73414</v>
      </c>
      <c r="AI870" s="12"/>
      <c r="AJ870" s="12"/>
      <c r="AK870" s="12"/>
    </row>
    <row r="871" spans="1:37">
      <c r="A871" s="10">
        <v>154</v>
      </c>
      <c r="B871" s="11">
        <v>554</v>
      </c>
      <c r="C871" s="10" t="s">
        <v>896</v>
      </c>
      <c r="D871" s="10" t="s">
        <v>23</v>
      </c>
      <c r="E871" s="10"/>
      <c r="F871" s="10" t="s">
        <v>889</v>
      </c>
      <c r="G871" s="10" t="s">
        <v>26</v>
      </c>
      <c r="H871" s="9"/>
      <c r="I871" s="12"/>
      <c r="J871" s="12">
        <v>150</v>
      </c>
      <c r="K871" s="12">
        <v>2400</v>
      </c>
      <c r="L871" s="12">
        <v>17716</v>
      </c>
      <c r="M871" s="11">
        <f>L871*4+AI871-AJ871</f>
        <v>70864</v>
      </c>
      <c r="N871" s="13"/>
      <c r="O871" s="12"/>
      <c r="P871" s="12"/>
      <c r="Q871" s="12"/>
      <c r="R871" s="12"/>
      <c r="S871" s="12"/>
      <c r="T871" s="12"/>
      <c r="U871" s="12"/>
      <c r="V871" s="12">
        <v>17717</v>
      </c>
      <c r="W871" s="12"/>
      <c r="X871" s="12"/>
      <c r="Y871" s="12"/>
      <c r="Z871" s="12"/>
      <c r="AA871" s="12"/>
      <c r="AB871" s="12"/>
      <c r="AC871" s="12"/>
      <c r="AD871" s="12"/>
      <c r="AE871" s="12"/>
      <c r="AF871" s="13">
        <f>H871+I871+J871+K871+M871-N871</f>
        <v>73414</v>
      </c>
      <c r="AG871" s="13">
        <f>SUM(O871:AE871)</f>
        <v>17717</v>
      </c>
      <c r="AH871" s="13">
        <f>AF871-AG871</f>
        <v>55697</v>
      </c>
      <c r="AI871" s="12"/>
      <c r="AJ871" s="12"/>
      <c r="AK871" s="12"/>
    </row>
    <row r="872" spans="1:37">
      <c r="A872" s="10">
        <v>155</v>
      </c>
      <c r="B872" s="11">
        <v>651</v>
      </c>
      <c r="C872" s="10" t="s">
        <v>897</v>
      </c>
      <c r="D872" s="10" t="s">
        <v>28</v>
      </c>
      <c r="E872" s="10"/>
      <c r="F872" s="10" t="s">
        <v>889</v>
      </c>
      <c r="G872" s="10" t="s">
        <v>26</v>
      </c>
      <c r="H872" s="9"/>
      <c r="I872" s="12"/>
      <c r="J872" s="12">
        <v>150</v>
      </c>
      <c r="K872" s="12">
        <v>2400</v>
      </c>
      <c r="L872" s="12">
        <v>17716</v>
      </c>
      <c r="M872" s="11">
        <f>L872*4+AI872-AJ872</f>
        <v>70864</v>
      </c>
      <c r="N872" s="13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  <c r="AA872" s="12"/>
      <c r="AB872" s="12"/>
      <c r="AC872" s="12"/>
      <c r="AD872" s="12"/>
      <c r="AE872" s="12"/>
      <c r="AF872" s="13">
        <f>H872+I872+J872+K872+M872-N872</f>
        <v>73414</v>
      </c>
      <c r="AG872" s="13">
        <f>SUM(O872:AE872)</f>
        <v>0</v>
      </c>
      <c r="AH872" s="13">
        <f>AF872-AG872</f>
        <v>73414</v>
      </c>
      <c r="AI872" s="12"/>
      <c r="AJ872" s="12"/>
      <c r="AK872" s="12"/>
    </row>
    <row r="873" spans="1:37">
      <c r="A873" s="10">
        <v>156</v>
      </c>
      <c r="B873" s="11">
        <v>1644</v>
      </c>
      <c r="C873" s="10" t="s">
        <v>898</v>
      </c>
      <c r="D873" s="10" t="s">
        <v>28</v>
      </c>
      <c r="E873" s="10"/>
      <c r="F873" s="10" t="s">
        <v>889</v>
      </c>
      <c r="G873" s="10" t="s">
        <v>26</v>
      </c>
      <c r="H873" s="9"/>
      <c r="I873" s="12"/>
      <c r="J873" s="12">
        <v>150</v>
      </c>
      <c r="K873" s="12">
        <v>2400</v>
      </c>
      <c r="L873" s="12">
        <v>17716</v>
      </c>
      <c r="M873" s="11">
        <f>L873*4+AI873-AJ873</f>
        <v>70864</v>
      </c>
      <c r="N873" s="13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  <c r="AA873" s="12"/>
      <c r="AB873" s="12"/>
      <c r="AC873" s="12"/>
      <c r="AD873" s="12"/>
      <c r="AE873" s="12"/>
      <c r="AF873" s="13">
        <f>H873+I873+J873+K873+M873-N873</f>
        <v>73414</v>
      </c>
      <c r="AG873" s="13">
        <f>SUM(O873:AE873)</f>
        <v>0</v>
      </c>
      <c r="AH873" s="13">
        <f>AF873-AG873</f>
        <v>73414</v>
      </c>
      <c r="AI873" s="12"/>
      <c r="AJ873" s="12"/>
      <c r="AK873" s="12"/>
    </row>
    <row r="874" spans="1:37">
      <c r="A874" s="10">
        <v>157</v>
      </c>
      <c r="B874" s="11">
        <v>1622</v>
      </c>
      <c r="C874" s="11" t="s">
        <v>899</v>
      </c>
      <c r="D874" s="11" t="s">
        <v>28</v>
      </c>
      <c r="E874" s="10"/>
      <c r="F874" s="10" t="s">
        <v>889</v>
      </c>
      <c r="G874" s="10" t="s">
        <v>26</v>
      </c>
      <c r="H874" s="9"/>
      <c r="I874" s="12"/>
      <c r="J874" s="12">
        <v>150</v>
      </c>
      <c r="K874" s="12">
        <v>2400</v>
      </c>
      <c r="L874" s="12">
        <v>17716</v>
      </c>
      <c r="M874" s="11">
        <f>L874*4+AI874-AJ874</f>
        <v>70864</v>
      </c>
      <c r="N874" s="13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  <c r="AA874" s="12"/>
      <c r="AB874" s="12"/>
      <c r="AC874" s="12"/>
      <c r="AD874" s="12"/>
      <c r="AE874" s="12"/>
      <c r="AF874" s="13">
        <f>H874+I874+J874+K874+M874-N874</f>
        <v>73414</v>
      </c>
      <c r="AG874" s="13">
        <f>SUM(O874:AE874)</f>
        <v>0</v>
      </c>
      <c r="AH874" s="13">
        <f>AF874-AG874</f>
        <v>73414</v>
      </c>
      <c r="AI874" s="12"/>
      <c r="AJ874" s="12"/>
      <c r="AK874" s="12"/>
    </row>
    <row r="875" spans="1:37">
      <c r="A875" s="10">
        <v>158</v>
      </c>
      <c r="B875" s="11">
        <v>726</v>
      </c>
      <c r="C875" s="10" t="s">
        <v>900</v>
      </c>
      <c r="D875" s="10" t="s">
        <v>28</v>
      </c>
      <c r="E875" s="10"/>
      <c r="F875" s="10" t="s">
        <v>889</v>
      </c>
      <c r="G875" s="10" t="s">
        <v>26</v>
      </c>
      <c r="H875" s="9"/>
      <c r="I875" s="12"/>
      <c r="J875" s="12">
        <v>150</v>
      </c>
      <c r="K875" s="12">
        <v>2400</v>
      </c>
      <c r="L875" s="12">
        <v>17716</v>
      </c>
      <c r="M875" s="11">
        <f>L875*4+AI875-AJ875</f>
        <v>70864</v>
      </c>
      <c r="N875" s="13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  <c r="AA875" s="12"/>
      <c r="AB875" s="12"/>
      <c r="AC875" s="12"/>
      <c r="AD875" s="12"/>
      <c r="AE875" s="12"/>
      <c r="AF875" s="13">
        <f>H875+I875+J875+K875+M875-N875</f>
        <v>73414</v>
      </c>
      <c r="AG875" s="13">
        <f>SUM(O875:AE875)</f>
        <v>0</v>
      </c>
      <c r="AH875" s="13">
        <f>AF875-AG875</f>
        <v>73414</v>
      </c>
      <c r="AI875" s="12"/>
      <c r="AJ875" s="12"/>
      <c r="AK875" s="12"/>
    </row>
    <row r="876" spans="1:37">
      <c r="A876" s="10">
        <v>159</v>
      </c>
      <c r="B876" s="22">
        <v>2231</v>
      </c>
      <c r="C876" s="21" t="s">
        <v>901</v>
      </c>
      <c r="D876" s="21" t="s">
        <v>23</v>
      </c>
      <c r="E876" s="21" t="s">
        <v>24</v>
      </c>
      <c r="F876" s="21" t="s">
        <v>889</v>
      </c>
      <c r="G876" s="21" t="s">
        <v>902</v>
      </c>
      <c r="H876" s="9">
        <v>6000</v>
      </c>
      <c r="I876" s="12">
        <v>1200</v>
      </c>
      <c r="J876" s="12">
        <v>150</v>
      </c>
      <c r="K876" s="12">
        <v>2400</v>
      </c>
      <c r="L876" s="12">
        <v>17716</v>
      </c>
      <c r="M876" s="11">
        <f>L876*4+AI876-AJ876</f>
        <v>70864</v>
      </c>
      <c r="N876" s="13"/>
      <c r="O876" s="12">
        <v>6000</v>
      </c>
      <c r="P876" s="12">
        <v>1200</v>
      </c>
      <c r="Q876" s="12"/>
      <c r="R876" s="11">
        <f>17716+150+600</f>
        <v>18466</v>
      </c>
      <c r="S876" s="12"/>
      <c r="T876" s="12"/>
      <c r="U876" s="12"/>
      <c r="V876" s="12"/>
      <c r="W876" s="12"/>
      <c r="X876" s="12"/>
      <c r="Y876" s="12"/>
      <c r="Z876" s="12"/>
      <c r="AA876" s="12"/>
      <c r="AB876" s="12"/>
      <c r="AC876" s="12"/>
      <c r="AD876" s="12"/>
      <c r="AE876" s="12"/>
      <c r="AF876" s="13">
        <f>H876+I876+J876+K876+M876-N876</f>
        <v>80614</v>
      </c>
      <c r="AG876" s="13">
        <f>SUM(O876:AE876)</f>
        <v>25666</v>
      </c>
      <c r="AH876" s="13">
        <f>AF876-AG876</f>
        <v>54948</v>
      </c>
      <c r="AI876" s="12"/>
      <c r="AJ876" s="12"/>
      <c r="AK876" s="12"/>
    </row>
    <row r="877" spans="1:37">
      <c r="A877" s="10">
        <v>160</v>
      </c>
      <c r="B877" s="11">
        <v>1364</v>
      </c>
      <c r="C877" s="10" t="s">
        <v>903</v>
      </c>
      <c r="D877" s="10" t="s">
        <v>23</v>
      </c>
      <c r="E877" s="10"/>
      <c r="F877" s="10" t="s">
        <v>889</v>
      </c>
      <c r="G877" s="10" t="s">
        <v>26</v>
      </c>
      <c r="H877" s="9"/>
      <c r="I877" s="12"/>
      <c r="J877" s="12">
        <v>150</v>
      </c>
      <c r="K877" s="12">
        <v>2400</v>
      </c>
      <c r="L877" s="12">
        <v>17716</v>
      </c>
      <c r="M877" s="11">
        <f>L877*4+AI877-AJ877</f>
        <v>70864</v>
      </c>
      <c r="N877" s="13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  <c r="AA877" s="12"/>
      <c r="AB877" s="12"/>
      <c r="AC877" s="12"/>
      <c r="AD877" s="12"/>
      <c r="AE877" s="12"/>
      <c r="AF877" s="13">
        <f>H877+I877+J877+K877+M877-N877</f>
        <v>73414</v>
      </c>
      <c r="AG877" s="13">
        <f>SUM(O877:AE877)</f>
        <v>0</v>
      </c>
      <c r="AH877" s="13">
        <f>AF877-AG877</f>
        <v>73414</v>
      </c>
      <c r="AI877" s="12"/>
      <c r="AJ877" s="12"/>
      <c r="AK877" s="12"/>
    </row>
    <row r="878" spans="1:37">
      <c r="A878" s="10">
        <v>161</v>
      </c>
      <c r="B878" s="11">
        <v>728</v>
      </c>
      <c r="C878" s="10" t="s">
        <v>904</v>
      </c>
      <c r="D878" s="10" t="s">
        <v>23</v>
      </c>
      <c r="E878" s="10"/>
      <c r="F878" s="10" t="s">
        <v>889</v>
      </c>
      <c r="G878" s="10" t="s">
        <v>26</v>
      </c>
      <c r="H878" s="9"/>
      <c r="I878" s="12"/>
      <c r="J878" s="12">
        <v>150</v>
      </c>
      <c r="K878" s="12">
        <v>2400</v>
      </c>
      <c r="L878" s="12">
        <v>17716</v>
      </c>
      <c r="M878" s="11">
        <f>L878*4+AI878-AJ878</f>
        <v>70864</v>
      </c>
      <c r="N878" s="13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  <c r="AA878" s="12"/>
      <c r="AB878" s="12"/>
      <c r="AC878" s="12"/>
      <c r="AD878" s="12"/>
      <c r="AE878" s="12"/>
      <c r="AF878" s="13">
        <f>H878+I878+J878+K878+M878-N878</f>
        <v>73414</v>
      </c>
      <c r="AG878" s="13">
        <f>SUM(O878:AE878)</f>
        <v>0</v>
      </c>
      <c r="AH878" s="13">
        <f>AF878-AG878</f>
        <v>73414</v>
      </c>
      <c r="AI878" s="12"/>
      <c r="AJ878" s="12"/>
      <c r="AK878" s="12"/>
    </row>
    <row r="879" spans="1:37">
      <c r="A879" s="10">
        <v>162</v>
      </c>
      <c r="B879" s="11">
        <v>551</v>
      </c>
      <c r="C879" s="10" t="s">
        <v>905</v>
      </c>
      <c r="D879" s="10" t="s">
        <v>28</v>
      </c>
      <c r="E879" s="10"/>
      <c r="F879" s="10" t="s">
        <v>889</v>
      </c>
      <c r="G879" s="10" t="s">
        <v>26</v>
      </c>
      <c r="H879" s="9"/>
      <c r="I879" s="12"/>
      <c r="J879" s="12">
        <v>150</v>
      </c>
      <c r="K879" s="12">
        <v>2400</v>
      </c>
      <c r="L879" s="12">
        <v>17716</v>
      </c>
      <c r="M879" s="11">
        <f>L879*4+AI879-AJ879</f>
        <v>70864</v>
      </c>
      <c r="N879" s="13"/>
      <c r="O879" s="12"/>
      <c r="P879" s="12"/>
      <c r="Q879" s="12"/>
      <c r="R879" s="12">
        <v>18466</v>
      </c>
      <c r="S879" s="12"/>
      <c r="T879" s="12"/>
      <c r="U879" s="12"/>
      <c r="V879" s="12"/>
      <c r="W879" s="12"/>
      <c r="X879" s="12"/>
      <c r="Y879" s="12"/>
      <c r="Z879" s="12"/>
      <c r="AA879" s="12"/>
      <c r="AB879" s="12"/>
      <c r="AC879" s="12"/>
      <c r="AD879" s="12"/>
      <c r="AE879" s="12"/>
      <c r="AF879" s="13">
        <f>H879+I879+J879+K879+M879-N879</f>
        <v>73414</v>
      </c>
      <c r="AG879" s="13">
        <f>SUM(O879:AE879)</f>
        <v>18466</v>
      </c>
      <c r="AH879" s="13">
        <f>AF879-AG879</f>
        <v>54948</v>
      </c>
      <c r="AI879" s="12"/>
      <c r="AJ879" s="12"/>
      <c r="AK879" s="12"/>
    </row>
    <row r="880" spans="1:37">
      <c r="A880" s="10">
        <v>163</v>
      </c>
      <c r="B880" s="11">
        <v>658</v>
      </c>
      <c r="C880" s="10" t="s">
        <v>906</v>
      </c>
      <c r="D880" s="10" t="s">
        <v>28</v>
      </c>
      <c r="E880" s="10"/>
      <c r="F880" s="10" t="s">
        <v>889</v>
      </c>
      <c r="G880" s="10" t="s">
        <v>26</v>
      </c>
      <c r="H880" s="9"/>
      <c r="I880" s="12"/>
      <c r="J880" s="12">
        <v>150</v>
      </c>
      <c r="K880" s="12">
        <v>2400</v>
      </c>
      <c r="L880" s="12">
        <v>17716</v>
      </c>
      <c r="M880" s="11">
        <f>L880*4+AI880-AJ880</f>
        <v>70864</v>
      </c>
      <c r="N880" s="13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  <c r="AA880" s="12"/>
      <c r="AB880" s="12"/>
      <c r="AC880" s="12"/>
      <c r="AD880" s="12"/>
      <c r="AE880" s="12"/>
      <c r="AF880" s="13">
        <f>H880+I880+J880+K880+M880-N880</f>
        <v>73414</v>
      </c>
      <c r="AG880" s="13">
        <f>SUM(O880:AE880)</f>
        <v>0</v>
      </c>
      <c r="AH880" s="13">
        <f>AF880-AG880</f>
        <v>73414</v>
      </c>
      <c r="AI880" s="12"/>
      <c r="AJ880" s="12"/>
      <c r="AK880" s="12"/>
    </row>
    <row r="881" spans="1:37">
      <c r="A881" s="10">
        <v>164</v>
      </c>
      <c r="B881" s="11">
        <v>637</v>
      </c>
      <c r="C881" s="10" t="s">
        <v>907</v>
      </c>
      <c r="D881" s="10" t="s">
        <v>28</v>
      </c>
      <c r="E881" s="10"/>
      <c r="F881" s="10" t="s">
        <v>889</v>
      </c>
      <c r="G881" s="10" t="s">
        <v>26</v>
      </c>
      <c r="H881" s="9"/>
      <c r="I881" s="12"/>
      <c r="J881" s="12">
        <v>150</v>
      </c>
      <c r="K881" s="12">
        <v>2400</v>
      </c>
      <c r="L881" s="12">
        <v>17716</v>
      </c>
      <c r="M881" s="11">
        <f>L881*4+AI881-AJ881</f>
        <v>70864</v>
      </c>
      <c r="N881" s="13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  <c r="AA881" s="12"/>
      <c r="AB881" s="12"/>
      <c r="AC881" s="12"/>
      <c r="AD881" s="12"/>
      <c r="AE881" s="12"/>
      <c r="AF881" s="13">
        <f>H881+I881+J881+K881+M881-N881</f>
        <v>73414</v>
      </c>
      <c r="AG881" s="13">
        <f>SUM(O881:AE881)</f>
        <v>0</v>
      </c>
      <c r="AH881" s="13">
        <f>AF881-AG881</f>
        <v>73414</v>
      </c>
      <c r="AI881" s="12"/>
      <c r="AJ881" s="12"/>
      <c r="AK881" s="12"/>
    </row>
    <row r="882" spans="1:37">
      <c r="A882" s="10">
        <v>165</v>
      </c>
      <c r="B882" s="10">
        <v>1735</v>
      </c>
      <c r="C882" s="11" t="s">
        <v>908</v>
      </c>
      <c r="D882" s="11" t="s">
        <v>28</v>
      </c>
      <c r="E882" s="11"/>
      <c r="F882" s="10" t="s">
        <v>889</v>
      </c>
      <c r="G882" s="11" t="s">
        <v>26</v>
      </c>
      <c r="H882" s="12"/>
      <c r="I882" s="12"/>
      <c r="J882" s="12">
        <v>150</v>
      </c>
      <c r="K882" s="12">
        <v>2400</v>
      </c>
      <c r="L882" s="12">
        <v>17716</v>
      </c>
      <c r="M882" s="11">
        <f>L882*4+AI882-AJ882</f>
        <v>70864</v>
      </c>
      <c r="N882" s="13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  <c r="AA882" s="12"/>
      <c r="AB882" s="12"/>
      <c r="AC882" s="12"/>
      <c r="AD882" s="12"/>
      <c r="AE882" s="12"/>
      <c r="AF882" s="13">
        <f>H882+I882+J882+K882+M882-N882</f>
        <v>73414</v>
      </c>
      <c r="AG882" s="13">
        <f>SUM(O882:AE882)</f>
        <v>0</v>
      </c>
      <c r="AH882" s="13">
        <f>AF882-AG882</f>
        <v>73414</v>
      </c>
      <c r="AI882" s="12"/>
      <c r="AJ882" s="12"/>
      <c r="AK882" s="12"/>
    </row>
    <row r="883" spans="1:37">
      <c r="A883" s="10">
        <v>166</v>
      </c>
      <c r="B883" s="11">
        <v>657</v>
      </c>
      <c r="C883" s="10" t="s">
        <v>909</v>
      </c>
      <c r="D883" s="10" t="s">
        <v>23</v>
      </c>
      <c r="E883" s="10"/>
      <c r="F883" s="10" t="s">
        <v>889</v>
      </c>
      <c r="G883" s="10" t="s">
        <v>26</v>
      </c>
      <c r="H883" s="9"/>
      <c r="I883" s="12"/>
      <c r="J883" s="12">
        <v>150</v>
      </c>
      <c r="K883" s="12">
        <v>2400</v>
      </c>
      <c r="L883" s="12">
        <v>17716</v>
      </c>
      <c r="M883" s="11">
        <f>L883*4+AI883-AJ883</f>
        <v>70864</v>
      </c>
      <c r="N883" s="13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  <c r="AA883" s="12"/>
      <c r="AB883" s="12"/>
      <c r="AC883" s="12"/>
      <c r="AD883" s="12"/>
      <c r="AE883" s="12"/>
      <c r="AF883" s="13">
        <f>H883+I883+J883+K883+M883-N883</f>
        <v>73414</v>
      </c>
      <c r="AG883" s="13">
        <f>SUM(O883:AE883)</f>
        <v>0</v>
      </c>
      <c r="AH883" s="13">
        <f>AF883-AG883</f>
        <v>73414</v>
      </c>
      <c r="AI883" s="12"/>
      <c r="AJ883" s="12"/>
      <c r="AK883" s="12"/>
    </row>
    <row r="884" spans="1:37">
      <c r="A884" s="10">
        <v>167</v>
      </c>
      <c r="B884" s="11">
        <v>560</v>
      </c>
      <c r="C884" s="10" t="s">
        <v>910</v>
      </c>
      <c r="D884" s="10" t="s">
        <v>28</v>
      </c>
      <c r="E884" s="10"/>
      <c r="F884" s="10" t="s">
        <v>889</v>
      </c>
      <c r="G884" s="10" t="s">
        <v>26</v>
      </c>
      <c r="H884" s="9"/>
      <c r="I884" s="12"/>
      <c r="J884" s="12">
        <v>150</v>
      </c>
      <c r="K884" s="12">
        <v>2400</v>
      </c>
      <c r="L884" s="12">
        <v>17716</v>
      </c>
      <c r="M884" s="11">
        <f>L884*4+AI884-AJ884</f>
        <v>70864</v>
      </c>
      <c r="N884" s="13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  <c r="AA884" s="12"/>
      <c r="AB884" s="12"/>
      <c r="AC884" s="12"/>
      <c r="AD884" s="12"/>
      <c r="AE884" s="12"/>
      <c r="AF884" s="13">
        <f>H884+I884+J884+K884+M884-N884</f>
        <v>73414</v>
      </c>
      <c r="AG884" s="13">
        <f>SUM(O884:AE884)</f>
        <v>0</v>
      </c>
      <c r="AH884" s="13">
        <f>AF884-AG884</f>
        <v>73414</v>
      </c>
      <c r="AI884" s="12"/>
      <c r="AJ884" s="12"/>
      <c r="AK884" s="12"/>
    </row>
    <row r="885" spans="1:37">
      <c r="A885" s="10">
        <v>168</v>
      </c>
      <c r="B885" s="11">
        <v>2137</v>
      </c>
      <c r="C885" s="10" t="s">
        <v>911</v>
      </c>
      <c r="D885" s="10" t="s">
        <v>28</v>
      </c>
      <c r="E885" s="10"/>
      <c r="F885" s="10" t="s">
        <v>889</v>
      </c>
      <c r="G885" s="10" t="s">
        <v>26</v>
      </c>
      <c r="H885" s="9"/>
      <c r="I885" s="12"/>
      <c r="J885" s="12">
        <v>150</v>
      </c>
      <c r="K885" s="12">
        <v>2400</v>
      </c>
      <c r="L885" s="12">
        <v>17716</v>
      </c>
      <c r="M885" s="11">
        <f>L885*4+AI885-AJ885</f>
        <v>70864</v>
      </c>
      <c r="N885" s="13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  <c r="AA885" s="12"/>
      <c r="AB885" s="12"/>
      <c r="AC885" s="12"/>
      <c r="AD885" s="12"/>
      <c r="AE885" s="12"/>
      <c r="AF885" s="13">
        <f>H885+I885+J885+K885+M885-N885</f>
        <v>73414</v>
      </c>
      <c r="AG885" s="13">
        <f>SUM(O885:AE885)</f>
        <v>0</v>
      </c>
      <c r="AH885" s="13">
        <f>AF885-AG885</f>
        <v>73414</v>
      </c>
      <c r="AI885" s="12"/>
      <c r="AJ885" s="12"/>
      <c r="AK885" s="12"/>
    </row>
    <row r="886" spans="1:37">
      <c r="A886" s="10">
        <v>169</v>
      </c>
      <c r="B886" s="11">
        <v>613</v>
      </c>
      <c r="C886" s="10" t="s">
        <v>912</v>
      </c>
      <c r="D886" s="10" t="s">
        <v>28</v>
      </c>
      <c r="E886" s="10"/>
      <c r="F886" s="10" t="s">
        <v>889</v>
      </c>
      <c r="G886" s="10" t="s">
        <v>26</v>
      </c>
      <c r="H886" s="9"/>
      <c r="I886" s="12"/>
      <c r="J886" s="12">
        <v>150</v>
      </c>
      <c r="K886" s="12">
        <v>2400</v>
      </c>
      <c r="L886" s="12">
        <v>17716</v>
      </c>
      <c r="M886" s="11">
        <f>L886*4+AI886-AJ886</f>
        <v>70864</v>
      </c>
      <c r="N886" s="13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  <c r="AA886" s="12"/>
      <c r="AB886" s="12"/>
      <c r="AC886" s="12"/>
      <c r="AD886" s="12"/>
      <c r="AE886" s="12"/>
      <c r="AF886" s="13">
        <f>H886+I886+J886+K886+M886-N886</f>
        <v>73414</v>
      </c>
      <c r="AG886" s="13">
        <f>SUM(O886:AE886)</f>
        <v>0</v>
      </c>
      <c r="AH886" s="13">
        <f>AF886-AG886</f>
        <v>73414</v>
      </c>
      <c r="AI886" s="12"/>
      <c r="AJ886" s="12"/>
      <c r="AK886" s="12"/>
    </row>
    <row r="887" spans="1:37">
      <c r="A887" s="10">
        <v>170</v>
      </c>
      <c r="B887" s="11">
        <v>659</v>
      </c>
      <c r="C887" s="10" t="s">
        <v>913</v>
      </c>
      <c r="D887" s="10" t="s">
        <v>23</v>
      </c>
      <c r="E887" s="10"/>
      <c r="F887" s="10" t="s">
        <v>889</v>
      </c>
      <c r="G887" s="10" t="s">
        <v>26</v>
      </c>
      <c r="H887" s="9"/>
      <c r="I887" s="12"/>
      <c r="J887" s="12">
        <v>150</v>
      </c>
      <c r="K887" s="12">
        <v>2400</v>
      </c>
      <c r="L887" s="12">
        <v>17716</v>
      </c>
      <c r="M887" s="11">
        <f>L887*4+AI887-AJ887</f>
        <v>70864</v>
      </c>
      <c r="N887" s="13"/>
      <c r="O887" s="12"/>
      <c r="P887" s="12"/>
      <c r="Q887" s="12"/>
      <c r="R887" s="12"/>
      <c r="S887" s="12"/>
      <c r="T887" s="12"/>
      <c r="U887" s="12"/>
      <c r="V887" s="12">
        <v>17866</v>
      </c>
      <c r="W887" s="12"/>
      <c r="X887" s="12"/>
      <c r="Y887" s="12"/>
      <c r="Z887" s="12"/>
      <c r="AA887" s="12"/>
      <c r="AB887" s="12"/>
      <c r="AC887" s="12"/>
      <c r="AD887" s="12"/>
      <c r="AE887" s="12"/>
      <c r="AF887" s="13">
        <f>H887+I887+J887+K887+M887-N887</f>
        <v>73414</v>
      </c>
      <c r="AG887" s="13">
        <f>SUM(O887:AE887)</f>
        <v>17866</v>
      </c>
      <c r="AH887" s="13">
        <f>AF887-AG887</f>
        <v>55548</v>
      </c>
      <c r="AI887" s="12"/>
      <c r="AJ887" s="12"/>
      <c r="AK887" s="12"/>
    </row>
    <row r="888" spans="1:37">
      <c r="A888" s="10">
        <v>171</v>
      </c>
      <c r="B888" s="11">
        <v>662</v>
      </c>
      <c r="C888" s="10" t="s">
        <v>914</v>
      </c>
      <c r="D888" s="10" t="s">
        <v>23</v>
      </c>
      <c r="E888" s="10"/>
      <c r="F888" s="10" t="s">
        <v>889</v>
      </c>
      <c r="G888" s="10" t="s">
        <v>26</v>
      </c>
      <c r="H888" s="9"/>
      <c r="I888" s="12"/>
      <c r="J888" s="12">
        <v>150</v>
      </c>
      <c r="K888" s="12">
        <v>2400</v>
      </c>
      <c r="L888" s="12">
        <v>17716</v>
      </c>
      <c r="M888" s="11">
        <f>L888*4+AI888-AJ888</f>
        <v>70864</v>
      </c>
      <c r="N888" s="13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  <c r="AA888" s="12"/>
      <c r="AB888" s="12"/>
      <c r="AC888" s="12"/>
      <c r="AD888" s="12"/>
      <c r="AE888" s="12"/>
      <c r="AF888" s="13">
        <f>H888+I888+J888+K888+M888-N888</f>
        <v>73414</v>
      </c>
      <c r="AG888" s="13">
        <f>SUM(O888:AE888)</f>
        <v>0</v>
      </c>
      <c r="AH888" s="13">
        <f>AF888-AG888</f>
        <v>73414</v>
      </c>
      <c r="AI888" s="12"/>
      <c r="AJ888" s="12"/>
      <c r="AK888" s="12"/>
    </row>
    <row r="889" spans="1:37">
      <c r="A889" s="10">
        <v>172</v>
      </c>
      <c r="B889" s="27">
        <v>1363</v>
      </c>
      <c r="C889" s="26" t="s">
        <v>915</v>
      </c>
      <c r="D889" s="26" t="s">
        <v>23</v>
      </c>
      <c r="E889" s="26"/>
      <c r="F889" s="26" t="s">
        <v>889</v>
      </c>
      <c r="G889" s="26" t="s">
        <v>26</v>
      </c>
      <c r="H889" s="9"/>
      <c r="I889" s="12"/>
      <c r="J889" s="12">
        <v>150</v>
      </c>
      <c r="K889" s="12">
        <v>2400</v>
      </c>
      <c r="L889" s="12">
        <v>8858</v>
      </c>
      <c r="M889" s="11">
        <f>L889*4+AI889-AJ889</f>
        <v>35432</v>
      </c>
      <c r="N889" s="13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  <c r="AA889" s="12"/>
      <c r="AB889" s="12"/>
      <c r="AC889" s="12"/>
      <c r="AD889" s="12"/>
      <c r="AE889" s="12"/>
      <c r="AF889" s="13">
        <f>H889+I889+J889+K889+M889-N889</f>
        <v>37982</v>
      </c>
      <c r="AG889" s="13">
        <f>SUM(O889:AE889)</f>
        <v>0</v>
      </c>
      <c r="AH889" s="13">
        <f>AF889-AG889</f>
        <v>37982</v>
      </c>
      <c r="AI889" s="12"/>
      <c r="AJ889" s="12"/>
      <c r="AK889" s="12"/>
    </row>
    <row r="890" spans="1:37">
      <c r="A890" s="10">
        <v>173</v>
      </c>
      <c r="B890" s="11">
        <v>1171</v>
      </c>
      <c r="C890" s="10" t="s">
        <v>916</v>
      </c>
      <c r="D890" s="10" t="s">
        <v>28</v>
      </c>
      <c r="E890" s="10"/>
      <c r="F890" s="10" t="s">
        <v>889</v>
      </c>
      <c r="G890" s="10" t="s">
        <v>26</v>
      </c>
      <c r="H890" s="9"/>
      <c r="I890" s="12"/>
      <c r="J890" s="12">
        <v>150</v>
      </c>
      <c r="K890" s="12">
        <v>2400</v>
      </c>
      <c r="L890" s="12">
        <v>17716</v>
      </c>
      <c r="M890" s="11">
        <f>L890*4+AI890-AJ890</f>
        <v>70864</v>
      </c>
      <c r="N890" s="13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  <c r="AA890" s="12"/>
      <c r="AB890" s="12"/>
      <c r="AC890" s="12"/>
      <c r="AD890" s="12"/>
      <c r="AE890" s="12"/>
      <c r="AF890" s="13">
        <f>H890+I890+J890+K890+M890-N890</f>
        <v>73414</v>
      </c>
      <c r="AG890" s="13">
        <f>SUM(O890:AE890)</f>
        <v>0</v>
      </c>
      <c r="AH890" s="13">
        <f>AF890-AG890</f>
        <v>73414</v>
      </c>
      <c r="AI890" s="12"/>
      <c r="AJ890" s="12"/>
      <c r="AK890" s="12"/>
    </row>
    <row r="891" spans="1:37">
      <c r="A891" s="10">
        <v>174</v>
      </c>
      <c r="B891" s="11">
        <v>666</v>
      </c>
      <c r="C891" s="10" t="s">
        <v>917</v>
      </c>
      <c r="D891" s="10" t="s">
        <v>23</v>
      </c>
      <c r="E891" s="10"/>
      <c r="F891" s="10" t="s">
        <v>889</v>
      </c>
      <c r="G891" s="10" t="s">
        <v>26</v>
      </c>
      <c r="H891" s="9"/>
      <c r="I891" s="12"/>
      <c r="J891" s="12">
        <v>150</v>
      </c>
      <c r="K891" s="12">
        <v>2400</v>
      </c>
      <c r="L891" s="12">
        <v>17716</v>
      </c>
      <c r="M891" s="11">
        <f>L891*4+AI891-AJ891</f>
        <v>67864</v>
      </c>
      <c r="N891" s="13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  <c r="AA891" s="12"/>
      <c r="AB891" s="12"/>
      <c r="AC891" s="12"/>
      <c r="AD891" s="12"/>
      <c r="AE891" s="12"/>
      <c r="AF891" s="13">
        <f>H891+I891+J891+K891+M891-N891</f>
        <v>70414</v>
      </c>
      <c r="AG891" s="13">
        <f>SUM(O891:AE891)</f>
        <v>0</v>
      </c>
      <c r="AH891" s="13">
        <f>AF891-AG891</f>
        <v>70414</v>
      </c>
      <c r="AI891" s="12"/>
      <c r="AJ891" s="12">
        <v>3000</v>
      </c>
      <c r="AK891" s="12"/>
    </row>
    <row r="892" spans="1:37">
      <c r="A892" s="10">
        <v>175</v>
      </c>
      <c r="B892" s="22">
        <v>2247</v>
      </c>
      <c r="C892" s="21" t="s">
        <v>918</v>
      </c>
      <c r="D892" s="21" t="s">
        <v>28</v>
      </c>
      <c r="E892" s="21" t="s">
        <v>24</v>
      </c>
      <c r="F892" s="21" t="s">
        <v>889</v>
      </c>
      <c r="G892" s="21" t="s">
        <v>902</v>
      </c>
      <c r="H892" s="9">
        <v>6000</v>
      </c>
      <c r="I892" s="12">
        <v>1200</v>
      </c>
      <c r="J892" s="12">
        <v>150</v>
      </c>
      <c r="K892" s="12">
        <v>2400</v>
      </c>
      <c r="L892" s="12">
        <v>17716</v>
      </c>
      <c r="M892" s="11">
        <f>L892*4+AI892-AJ892</f>
        <v>70864</v>
      </c>
      <c r="N892" s="13"/>
      <c r="O892" s="12">
        <v>6000</v>
      </c>
      <c r="P892" s="12">
        <v>1200</v>
      </c>
      <c r="Q892" s="12"/>
      <c r="R892" s="12"/>
      <c r="S892" s="11">
        <f>17716+600+150</f>
        <v>18466</v>
      </c>
      <c r="T892" s="12"/>
      <c r="U892" s="12"/>
      <c r="V892" s="12"/>
      <c r="W892" s="12"/>
      <c r="X892" s="12"/>
      <c r="Y892" s="12"/>
      <c r="Z892" s="12"/>
      <c r="AA892" s="12"/>
      <c r="AB892" s="12"/>
      <c r="AC892" s="12"/>
      <c r="AD892" s="12"/>
      <c r="AE892" s="12"/>
      <c r="AF892" s="13">
        <f>H892+I892+J892+K892+M892-N892</f>
        <v>80614</v>
      </c>
      <c r="AG892" s="13">
        <f>SUM(O892:AE892)</f>
        <v>25666</v>
      </c>
      <c r="AH892" s="13">
        <f>AF892-AG892</f>
        <v>54948</v>
      </c>
      <c r="AI892" s="12"/>
      <c r="AJ892" s="12"/>
      <c r="AK892" s="12"/>
    </row>
    <row r="893" spans="1:37">
      <c r="A893" s="10">
        <v>176</v>
      </c>
      <c r="B893" s="27">
        <v>664</v>
      </c>
      <c r="C893" s="26" t="s">
        <v>919</v>
      </c>
      <c r="D893" s="26" t="s">
        <v>23</v>
      </c>
      <c r="E893" s="26"/>
      <c r="F893" s="26" t="s">
        <v>889</v>
      </c>
      <c r="G893" s="26" t="s">
        <v>26</v>
      </c>
      <c r="H893" s="9"/>
      <c r="I893" s="12"/>
      <c r="J893" s="12">
        <v>150</v>
      </c>
      <c r="K893" s="12">
        <v>2400</v>
      </c>
      <c r="L893" s="12">
        <v>8858</v>
      </c>
      <c r="M893" s="11">
        <f>L893*4+AI893-AJ893</f>
        <v>35432</v>
      </c>
      <c r="N893" s="13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  <c r="AA893" s="12"/>
      <c r="AB893" s="12"/>
      <c r="AC893" s="12"/>
      <c r="AD893" s="12"/>
      <c r="AE893" s="12"/>
      <c r="AF893" s="13">
        <f>H893+I893+J893+K893+M893-N893</f>
        <v>37982</v>
      </c>
      <c r="AG893" s="13">
        <f>SUM(O893:AE893)</f>
        <v>0</v>
      </c>
      <c r="AH893" s="13">
        <f>AF893-AG893</f>
        <v>37982</v>
      </c>
      <c r="AI893" s="12"/>
      <c r="AJ893" s="12"/>
      <c r="AK893" s="12"/>
    </row>
    <row r="894" spans="1:37">
      <c r="A894" s="10">
        <v>177</v>
      </c>
      <c r="B894" s="11">
        <v>867</v>
      </c>
      <c r="C894" s="10" t="s">
        <v>920</v>
      </c>
      <c r="D894" s="10" t="s">
        <v>28</v>
      </c>
      <c r="E894" s="10"/>
      <c r="F894" s="10" t="s">
        <v>889</v>
      </c>
      <c r="G894" s="10" t="s">
        <v>62</v>
      </c>
      <c r="H894" s="9"/>
      <c r="I894" s="12"/>
      <c r="J894" s="12">
        <v>150</v>
      </c>
      <c r="K894" s="12">
        <v>0</v>
      </c>
      <c r="L894" s="12">
        <v>17716</v>
      </c>
      <c r="M894" s="11">
        <f>L894*4+AI894-AJ894</f>
        <v>70864</v>
      </c>
      <c r="N894" s="13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  <c r="AA894" s="12"/>
      <c r="AB894" s="12"/>
      <c r="AC894" s="12"/>
      <c r="AD894" s="12"/>
      <c r="AE894" s="12"/>
      <c r="AF894" s="13">
        <f>H894+I894+J894+K894+M894-N894</f>
        <v>71014</v>
      </c>
      <c r="AG894" s="13">
        <f>SUM(O894:AE894)</f>
        <v>0</v>
      </c>
      <c r="AH894" s="13">
        <f>AF894-AG894</f>
        <v>71014</v>
      </c>
      <c r="AI894" s="12"/>
      <c r="AJ894" s="12"/>
      <c r="AK894" s="12"/>
    </row>
    <row r="895" spans="1:37">
      <c r="A895" s="10">
        <v>178</v>
      </c>
      <c r="B895" s="27">
        <v>2133</v>
      </c>
      <c r="C895" s="26" t="s">
        <v>921</v>
      </c>
      <c r="D895" s="26" t="s">
        <v>23</v>
      </c>
      <c r="E895" s="26"/>
      <c r="F895" s="26" t="s">
        <v>889</v>
      </c>
      <c r="G895" s="26" t="s">
        <v>62</v>
      </c>
      <c r="H895" s="9"/>
      <c r="I895" s="12"/>
      <c r="J895" s="12">
        <v>150</v>
      </c>
      <c r="K895" s="12">
        <v>0</v>
      </c>
      <c r="L895" s="12">
        <v>8858</v>
      </c>
      <c r="M895" s="11">
        <f>L895*4+AI895-AJ895</f>
        <v>35432</v>
      </c>
      <c r="N895" s="13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  <c r="AA895" s="12"/>
      <c r="AB895" s="12"/>
      <c r="AC895" s="12"/>
      <c r="AD895" s="12"/>
      <c r="AE895" s="12"/>
      <c r="AF895" s="13">
        <f>H895+I895+J895+K895+M895-N895</f>
        <v>35582</v>
      </c>
      <c r="AG895" s="13">
        <f>SUM(O895:AE895)</f>
        <v>0</v>
      </c>
      <c r="AH895" s="13">
        <f>AF895-AG895</f>
        <v>35582</v>
      </c>
      <c r="AI895" s="12"/>
      <c r="AJ895" s="12"/>
      <c r="AK895" s="12"/>
    </row>
    <row r="896" spans="1:37">
      <c r="A896" s="10">
        <v>179</v>
      </c>
      <c r="B896" s="10">
        <v>1981</v>
      </c>
      <c r="C896" s="10" t="s">
        <v>922</v>
      </c>
      <c r="D896" s="11" t="s">
        <v>28</v>
      </c>
      <c r="E896" s="10"/>
      <c r="F896" s="10" t="s">
        <v>889</v>
      </c>
      <c r="G896" s="10" t="s">
        <v>62</v>
      </c>
      <c r="H896" s="9"/>
      <c r="I896" s="12"/>
      <c r="J896" s="12">
        <v>150</v>
      </c>
      <c r="K896" s="12">
        <v>0</v>
      </c>
      <c r="L896" s="12">
        <v>17716</v>
      </c>
      <c r="M896" s="11">
        <f>L896*4+AI896-AJ896</f>
        <v>70864</v>
      </c>
      <c r="N896" s="13"/>
      <c r="O896" s="12"/>
      <c r="P896" s="12"/>
      <c r="Q896" s="12"/>
      <c r="R896" s="12"/>
      <c r="S896" s="12"/>
      <c r="T896" s="12">
        <v>18466</v>
      </c>
      <c r="U896" s="12"/>
      <c r="V896" s="12"/>
      <c r="W896" s="12"/>
      <c r="X896" s="12"/>
      <c r="Y896" s="12"/>
      <c r="Z896" s="12"/>
      <c r="AA896" s="12"/>
      <c r="AB896" s="12"/>
      <c r="AC896" s="12"/>
      <c r="AD896" s="12"/>
      <c r="AE896" s="12"/>
      <c r="AF896" s="13">
        <f>H896+I896+J896+K896+M896-N896</f>
        <v>71014</v>
      </c>
      <c r="AG896" s="13">
        <f>SUM(O896:AE896)</f>
        <v>18466</v>
      </c>
      <c r="AH896" s="13">
        <f>AF896-AG896</f>
        <v>52548</v>
      </c>
      <c r="AI896" s="12"/>
      <c r="AJ896" s="12"/>
      <c r="AK896" s="12"/>
    </row>
    <row r="897" spans="1:37">
      <c r="A897" s="10">
        <v>180</v>
      </c>
      <c r="B897" s="11">
        <v>561</v>
      </c>
      <c r="C897" s="10" t="s">
        <v>923</v>
      </c>
      <c r="D897" s="10" t="s">
        <v>23</v>
      </c>
      <c r="E897" s="10"/>
      <c r="F897" s="10" t="s">
        <v>889</v>
      </c>
      <c r="G897" s="10" t="s">
        <v>62</v>
      </c>
      <c r="H897" s="9"/>
      <c r="I897" s="12"/>
      <c r="J897" s="12">
        <v>150</v>
      </c>
      <c r="K897" s="12">
        <v>0</v>
      </c>
      <c r="L897" s="12">
        <v>17716</v>
      </c>
      <c r="M897" s="11">
        <f>L897*4+AI897-AJ897</f>
        <v>70864</v>
      </c>
      <c r="N897" s="13"/>
      <c r="O897" s="12"/>
      <c r="P897" s="12"/>
      <c r="Q897" s="12"/>
      <c r="R897" s="12"/>
      <c r="S897" s="12"/>
      <c r="T897" s="12"/>
      <c r="U897" s="12">
        <v>17866</v>
      </c>
      <c r="V897" s="12"/>
      <c r="W897" s="12"/>
      <c r="X897" s="12"/>
      <c r="Y897" s="12"/>
      <c r="Z897" s="12"/>
      <c r="AA897" s="12"/>
      <c r="AB897" s="12"/>
      <c r="AC897" s="12"/>
      <c r="AD897" s="12"/>
      <c r="AE897" s="12"/>
      <c r="AF897" s="13">
        <f>H897+I897+J897+K897+M897-N897</f>
        <v>71014</v>
      </c>
      <c r="AG897" s="13">
        <f>SUM(O897:AE897)</f>
        <v>17866</v>
      </c>
      <c r="AH897" s="13">
        <f>AF897-AG897</f>
        <v>53148</v>
      </c>
      <c r="AI897" s="12"/>
      <c r="AJ897" s="12"/>
      <c r="AK897" s="12"/>
    </row>
    <row r="898" spans="1:37">
      <c r="A898" s="10">
        <v>181</v>
      </c>
      <c r="B898" s="22">
        <v>2259</v>
      </c>
      <c r="C898" s="21" t="s">
        <v>924</v>
      </c>
      <c r="D898" s="21" t="s">
        <v>23</v>
      </c>
      <c r="E898" s="21" t="s">
        <v>24</v>
      </c>
      <c r="F898" s="21" t="s">
        <v>889</v>
      </c>
      <c r="G898" s="21" t="s">
        <v>62</v>
      </c>
      <c r="H898" s="9">
        <v>6000</v>
      </c>
      <c r="I898" s="12">
        <v>1200</v>
      </c>
      <c r="J898" s="12">
        <v>150</v>
      </c>
      <c r="K898" s="12">
        <v>0</v>
      </c>
      <c r="L898" s="12">
        <v>17716</v>
      </c>
      <c r="M898" s="11">
        <f>L898*4+AI898-AJ898</f>
        <v>70864</v>
      </c>
      <c r="N898" s="13"/>
      <c r="O898" s="12">
        <v>6000</v>
      </c>
      <c r="P898" s="12">
        <v>1200</v>
      </c>
      <c r="Q898" s="12"/>
      <c r="R898" s="12">
        <v>1000</v>
      </c>
      <c r="S898" s="12">
        <v>16866</v>
      </c>
      <c r="T898" s="12"/>
      <c r="U898" s="12"/>
      <c r="V898" s="12"/>
      <c r="W898" s="12"/>
      <c r="X898" s="12"/>
      <c r="Y898" s="12"/>
      <c r="Z898" s="12"/>
      <c r="AA898" s="12"/>
      <c r="AB898" s="12"/>
      <c r="AC898" s="12"/>
      <c r="AD898" s="12"/>
      <c r="AE898" s="12"/>
      <c r="AF898" s="13">
        <f>H898+I898+J898+K898+M898-N898</f>
        <v>78214</v>
      </c>
      <c r="AG898" s="13">
        <f>SUM(O898:AE898)</f>
        <v>25066</v>
      </c>
      <c r="AH898" s="13">
        <f>AF898-AG898</f>
        <v>53148</v>
      </c>
      <c r="AI898" s="12"/>
      <c r="AJ898" s="12"/>
      <c r="AK898" s="12"/>
    </row>
    <row r="899" spans="1:37">
      <c r="A899" s="10">
        <v>182</v>
      </c>
      <c r="B899" s="11">
        <v>568</v>
      </c>
      <c r="C899" s="10" t="s">
        <v>925</v>
      </c>
      <c r="D899" s="10" t="s">
        <v>28</v>
      </c>
      <c r="E899" s="10"/>
      <c r="F899" s="10" t="s">
        <v>889</v>
      </c>
      <c r="G899" s="10" t="s">
        <v>62</v>
      </c>
      <c r="H899" s="9"/>
      <c r="I899" s="12"/>
      <c r="J899" s="12">
        <v>150</v>
      </c>
      <c r="K899" s="12">
        <v>0</v>
      </c>
      <c r="L899" s="12">
        <v>17716</v>
      </c>
      <c r="M899" s="11">
        <f>L899*4+AI899-AJ899</f>
        <v>70864</v>
      </c>
      <c r="N899" s="13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  <c r="AA899" s="12"/>
      <c r="AB899" s="12"/>
      <c r="AC899" s="12"/>
      <c r="AD899" s="12"/>
      <c r="AE899" s="12"/>
      <c r="AF899" s="13">
        <f>H899+I899+J899+K899+M899-N899</f>
        <v>71014</v>
      </c>
      <c r="AG899" s="13">
        <f>SUM(O899:AE899)</f>
        <v>0</v>
      </c>
      <c r="AH899" s="13">
        <f>AF899-AG899</f>
        <v>71014</v>
      </c>
      <c r="AI899" s="12"/>
      <c r="AJ899" s="12"/>
      <c r="AK899" s="12"/>
    </row>
    <row r="900" spans="1:37">
      <c r="A900" s="10">
        <v>183</v>
      </c>
      <c r="B900" s="11">
        <v>953</v>
      </c>
      <c r="C900" s="10" t="s">
        <v>926</v>
      </c>
      <c r="D900" s="10" t="s">
        <v>28</v>
      </c>
      <c r="E900" s="10"/>
      <c r="F900" s="10" t="s">
        <v>889</v>
      </c>
      <c r="G900" s="10" t="s">
        <v>62</v>
      </c>
      <c r="H900" s="9"/>
      <c r="I900" s="12"/>
      <c r="J900" s="12">
        <v>150</v>
      </c>
      <c r="K900" s="12">
        <v>0</v>
      </c>
      <c r="L900" s="12">
        <v>17716</v>
      </c>
      <c r="M900" s="11">
        <f>L900*4+AI900-AJ900</f>
        <v>70864</v>
      </c>
      <c r="N900" s="13"/>
      <c r="O900" s="12"/>
      <c r="P900" s="12"/>
      <c r="Q900" s="12"/>
      <c r="R900" s="12"/>
      <c r="S900" s="12"/>
      <c r="T900" s="12"/>
      <c r="U900" s="12">
        <v>18466</v>
      </c>
      <c r="V900" s="12"/>
      <c r="W900" s="12"/>
      <c r="X900" s="12"/>
      <c r="Y900" s="12"/>
      <c r="Z900" s="12"/>
      <c r="AA900" s="12"/>
      <c r="AB900" s="12"/>
      <c r="AC900" s="12"/>
      <c r="AD900" s="12"/>
      <c r="AE900" s="12"/>
      <c r="AF900" s="13">
        <f>H900+I900+J900+K900+M900-N900</f>
        <v>71014</v>
      </c>
      <c r="AG900" s="13">
        <f>SUM(O900:AE900)</f>
        <v>18466</v>
      </c>
      <c r="AH900" s="13">
        <f>AF900-AG900</f>
        <v>52548</v>
      </c>
      <c r="AI900" s="12"/>
      <c r="AJ900" s="12"/>
      <c r="AK900" s="12"/>
    </row>
    <row r="901" spans="1:37">
      <c r="A901" s="10">
        <v>184</v>
      </c>
      <c r="B901" s="11">
        <v>1065</v>
      </c>
      <c r="C901" s="10" t="s">
        <v>927</v>
      </c>
      <c r="D901" s="10" t="s">
        <v>23</v>
      </c>
      <c r="E901" s="10"/>
      <c r="F901" s="10" t="s">
        <v>889</v>
      </c>
      <c r="G901" s="10" t="s">
        <v>62</v>
      </c>
      <c r="H901" s="9"/>
      <c r="I901" s="12"/>
      <c r="J901" s="12">
        <v>150</v>
      </c>
      <c r="K901" s="12">
        <v>0</v>
      </c>
      <c r="L901" s="12">
        <v>17716</v>
      </c>
      <c r="M901" s="11">
        <f>L901*4+AI901-AJ901</f>
        <v>70864</v>
      </c>
      <c r="N901" s="13"/>
      <c r="O901" s="12"/>
      <c r="P901" s="12"/>
      <c r="Q901" s="12"/>
      <c r="R901" s="12"/>
      <c r="S901" s="12">
        <v>17866</v>
      </c>
      <c r="T901" s="12"/>
      <c r="U901" s="12"/>
      <c r="V901" s="12"/>
      <c r="W901" s="12"/>
      <c r="X901" s="12"/>
      <c r="Y901" s="12"/>
      <c r="Z901" s="12"/>
      <c r="AA901" s="12"/>
      <c r="AB901" s="12"/>
      <c r="AC901" s="12"/>
      <c r="AD901" s="12"/>
      <c r="AE901" s="12"/>
      <c r="AF901" s="13">
        <f>H901+I901+J901+K901+M901-N901</f>
        <v>71014</v>
      </c>
      <c r="AG901" s="13">
        <f>SUM(O901:AE901)</f>
        <v>17866</v>
      </c>
      <c r="AH901" s="13">
        <f>AF901-AG901</f>
        <v>53148</v>
      </c>
      <c r="AI901" s="12"/>
      <c r="AJ901" s="12"/>
      <c r="AK901" s="12"/>
    </row>
    <row r="902" spans="1:37">
      <c r="A902" s="10">
        <v>185</v>
      </c>
      <c r="B902" s="11">
        <v>650</v>
      </c>
      <c r="C902" s="10" t="s">
        <v>928</v>
      </c>
      <c r="D902" s="10" t="s">
        <v>23</v>
      </c>
      <c r="E902" s="10"/>
      <c r="F902" s="10" t="s">
        <v>889</v>
      </c>
      <c r="G902" s="10" t="s">
        <v>62</v>
      </c>
      <c r="H902" s="9"/>
      <c r="I902" s="12"/>
      <c r="J902" s="12">
        <v>150</v>
      </c>
      <c r="K902" s="12">
        <v>0</v>
      </c>
      <c r="L902" s="12">
        <v>17716</v>
      </c>
      <c r="M902" s="11">
        <f>L902*4+AI902-AJ902</f>
        <v>70864</v>
      </c>
      <c r="N902" s="13"/>
      <c r="O902" s="12"/>
      <c r="P902" s="12"/>
      <c r="Q902" s="12"/>
      <c r="R902" s="12"/>
      <c r="S902" s="12"/>
      <c r="T902" s="12">
        <v>18466</v>
      </c>
      <c r="U902" s="12"/>
      <c r="V902" s="12"/>
      <c r="W902" s="12"/>
      <c r="X902" s="12"/>
      <c r="Y902" s="12"/>
      <c r="Z902" s="12"/>
      <c r="AA902" s="12"/>
      <c r="AB902" s="12"/>
      <c r="AC902" s="12"/>
      <c r="AD902" s="12"/>
      <c r="AE902" s="12"/>
      <c r="AF902" s="13">
        <f>H902+I902+J902+K902+M902-N902</f>
        <v>71014</v>
      </c>
      <c r="AG902" s="13">
        <f>SUM(O902:AE902)</f>
        <v>18466</v>
      </c>
      <c r="AH902" s="13">
        <f>AF902-AG902</f>
        <v>52548</v>
      </c>
      <c r="AI902" s="12"/>
      <c r="AJ902" s="12"/>
      <c r="AK902" s="12"/>
    </row>
    <row r="903" spans="1:37">
      <c r="A903" s="10">
        <v>186</v>
      </c>
      <c r="B903" s="11">
        <v>524</v>
      </c>
      <c r="C903" s="10" t="s">
        <v>929</v>
      </c>
      <c r="D903" s="10" t="s">
        <v>28</v>
      </c>
      <c r="E903" s="10"/>
      <c r="F903" s="10" t="s">
        <v>889</v>
      </c>
      <c r="G903" s="10" t="s">
        <v>62</v>
      </c>
      <c r="H903" s="16"/>
      <c r="I903" s="12"/>
      <c r="J903" s="12">
        <v>150</v>
      </c>
      <c r="K903" s="12">
        <v>0</v>
      </c>
      <c r="L903" s="12">
        <v>17716</v>
      </c>
      <c r="M903" s="11">
        <f>L903*4+AI903-AJ903</f>
        <v>70864</v>
      </c>
      <c r="N903" s="13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  <c r="AA903" s="12"/>
      <c r="AB903" s="12"/>
      <c r="AC903" s="12"/>
      <c r="AD903" s="12"/>
      <c r="AE903" s="12"/>
      <c r="AF903" s="13">
        <f>H903+I903+J903+K903+M903-N903</f>
        <v>71014</v>
      </c>
      <c r="AG903" s="13">
        <f>SUM(O903:AE903)</f>
        <v>0</v>
      </c>
      <c r="AH903" s="13">
        <f>AF903-AG903</f>
        <v>71014</v>
      </c>
      <c r="AI903" s="12"/>
      <c r="AJ903" s="12"/>
      <c r="AK903" s="12"/>
    </row>
    <row r="904" spans="1:37">
      <c r="A904" s="10">
        <v>187</v>
      </c>
      <c r="B904" s="11">
        <v>572</v>
      </c>
      <c r="C904" s="10" t="s">
        <v>930</v>
      </c>
      <c r="D904" s="10" t="s">
        <v>28</v>
      </c>
      <c r="E904" s="10"/>
      <c r="F904" s="10" t="s">
        <v>889</v>
      </c>
      <c r="G904" s="10" t="s">
        <v>62</v>
      </c>
      <c r="H904" s="9"/>
      <c r="I904" s="12"/>
      <c r="J904" s="12">
        <v>150</v>
      </c>
      <c r="K904" s="12">
        <v>0</v>
      </c>
      <c r="L904" s="12">
        <v>17716</v>
      </c>
      <c r="M904" s="11">
        <f>L904*4+AI904-AJ904</f>
        <v>70864</v>
      </c>
      <c r="N904" s="13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  <c r="AA904" s="12"/>
      <c r="AB904" s="12"/>
      <c r="AC904" s="12"/>
      <c r="AD904" s="12"/>
      <c r="AE904" s="12"/>
      <c r="AF904" s="13">
        <f>H904+I904+J904+K904+M904-N904</f>
        <v>71014</v>
      </c>
      <c r="AG904" s="13">
        <f>SUM(O904:AE904)</f>
        <v>0</v>
      </c>
      <c r="AH904" s="13">
        <f>AF904-AG904</f>
        <v>71014</v>
      </c>
      <c r="AI904" s="12"/>
      <c r="AJ904" s="12"/>
      <c r="AK904" s="12"/>
    </row>
    <row r="905" spans="1:37">
      <c r="A905" s="10">
        <v>188</v>
      </c>
      <c r="B905" s="10">
        <v>1965</v>
      </c>
      <c r="C905" s="10" t="s">
        <v>931</v>
      </c>
      <c r="D905" s="10" t="s">
        <v>28</v>
      </c>
      <c r="E905" s="10"/>
      <c r="F905" s="10" t="s">
        <v>889</v>
      </c>
      <c r="G905" s="36" t="s">
        <v>62</v>
      </c>
      <c r="H905" s="9"/>
      <c r="I905" s="12"/>
      <c r="J905" s="12">
        <v>150</v>
      </c>
      <c r="K905" s="12">
        <v>0</v>
      </c>
      <c r="L905" s="12">
        <v>17716</v>
      </c>
      <c r="M905" s="11">
        <f>L905*4+AI905-AJ905</f>
        <v>70864</v>
      </c>
      <c r="N905" s="13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  <c r="AA905" s="12"/>
      <c r="AB905" s="12"/>
      <c r="AC905" s="12"/>
      <c r="AD905" s="12"/>
      <c r="AE905" s="12"/>
      <c r="AF905" s="13">
        <f>H905+I905+J905+K905+M905-N905</f>
        <v>71014</v>
      </c>
      <c r="AG905" s="13">
        <f>SUM(O905:AE905)</f>
        <v>0</v>
      </c>
      <c r="AH905" s="13">
        <f>AF905-AG905</f>
        <v>71014</v>
      </c>
      <c r="AI905" s="12"/>
      <c r="AJ905" s="12"/>
      <c r="AK905" s="12"/>
    </row>
    <row r="906" spans="1:37">
      <c r="A906" s="10">
        <v>189</v>
      </c>
      <c r="B906" s="11">
        <v>1667</v>
      </c>
      <c r="C906" s="10" t="s">
        <v>932</v>
      </c>
      <c r="D906" s="10" t="s">
        <v>23</v>
      </c>
      <c r="E906" s="10"/>
      <c r="F906" s="10" t="s">
        <v>889</v>
      </c>
      <c r="G906" s="10" t="s">
        <v>62</v>
      </c>
      <c r="H906" s="9"/>
      <c r="I906" s="12"/>
      <c r="J906" s="12">
        <v>150</v>
      </c>
      <c r="K906" s="12">
        <v>0</v>
      </c>
      <c r="L906" s="12">
        <v>17716</v>
      </c>
      <c r="M906" s="11">
        <f>L906*4+AI906-AJ906</f>
        <v>70864</v>
      </c>
      <c r="N906" s="13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  <c r="AA906" s="12"/>
      <c r="AB906" s="12"/>
      <c r="AC906" s="12"/>
      <c r="AD906" s="12"/>
      <c r="AE906" s="12"/>
      <c r="AF906" s="13">
        <f>H906+I906+J906+K906+M906-N906</f>
        <v>71014</v>
      </c>
      <c r="AG906" s="13">
        <f>SUM(O906:AE906)</f>
        <v>0</v>
      </c>
      <c r="AH906" s="13">
        <f>AF906-AG906</f>
        <v>71014</v>
      </c>
      <c r="AI906" s="12"/>
      <c r="AJ906" s="12"/>
      <c r="AK906" s="12"/>
    </row>
    <row r="907" spans="1:37">
      <c r="A907" s="10">
        <v>190</v>
      </c>
      <c r="B907" s="11">
        <v>1641</v>
      </c>
      <c r="C907" s="10" t="s">
        <v>933</v>
      </c>
      <c r="D907" s="10" t="s">
        <v>28</v>
      </c>
      <c r="E907" s="10"/>
      <c r="F907" s="10" t="s">
        <v>889</v>
      </c>
      <c r="G907" s="10" t="s">
        <v>62</v>
      </c>
      <c r="H907" s="9"/>
      <c r="I907" s="12"/>
      <c r="J907" s="12">
        <v>150</v>
      </c>
      <c r="K907" s="12">
        <v>0</v>
      </c>
      <c r="L907" s="12">
        <v>17716</v>
      </c>
      <c r="M907" s="11">
        <f>L907*4+AI907-AJ907</f>
        <v>70864</v>
      </c>
      <c r="N907" s="13">
        <v>3543</v>
      </c>
      <c r="O907" s="12"/>
      <c r="P907" s="12"/>
      <c r="Q907" s="12"/>
      <c r="R907" s="12"/>
      <c r="S907" s="12">
        <v>66378</v>
      </c>
      <c r="T907" s="12"/>
      <c r="U907" s="12"/>
      <c r="V907" s="12"/>
      <c r="W907" s="12"/>
      <c r="X907" s="12"/>
      <c r="Y907" s="12"/>
      <c r="Z907" s="12"/>
      <c r="AA907" s="12"/>
      <c r="AB907" s="12"/>
      <c r="AC907" s="12"/>
      <c r="AD907" s="12"/>
      <c r="AE907" s="12"/>
      <c r="AF907" s="13">
        <f>H907+I907+J907+K907+M907-N907</f>
        <v>67471</v>
      </c>
      <c r="AG907" s="13">
        <f>SUM(O907:AE907)</f>
        <v>66378</v>
      </c>
      <c r="AH907" s="13">
        <f>AF907-AG907</f>
        <v>1093</v>
      </c>
      <c r="AI907" s="12"/>
      <c r="AJ907" s="12"/>
      <c r="AK907" s="12"/>
    </row>
    <row r="908" spans="1:37">
      <c r="A908" s="10">
        <v>191</v>
      </c>
      <c r="B908" s="11">
        <v>573</v>
      </c>
      <c r="C908" s="10" t="s">
        <v>934</v>
      </c>
      <c r="D908" s="10" t="s">
        <v>28</v>
      </c>
      <c r="E908" s="10"/>
      <c r="F908" s="10" t="s">
        <v>889</v>
      </c>
      <c r="G908" s="10" t="s">
        <v>62</v>
      </c>
      <c r="H908" s="9"/>
      <c r="I908" s="12"/>
      <c r="J908" s="12">
        <v>150</v>
      </c>
      <c r="K908" s="12">
        <v>0</v>
      </c>
      <c r="L908" s="12">
        <v>17716</v>
      </c>
      <c r="M908" s="11">
        <f>L908*4+AI908-AJ908</f>
        <v>70864</v>
      </c>
      <c r="N908" s="13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  <c r="AA908" s="12"/>
      <c r="AB908" s="12"/>
      <c r="AC908" s="12"/>
      <c r="AD908" s="12"/>
      <c r="AE908" s="12"/>
      <c r="AF908" s="13">
        <f>H908+I908+J908+K908+M908-N908</f>
        <v>71014</v>
      </c>
      <c r="AG908" s="13">
        <f>SUM(O908:AE908)</f>
        <v>0</v>
      </c>
      <c r="AH908" s="13">
        <f>AF908-AG908</f>
        <v>71014</v>
      </c>
      <c r="AI908" s="12"/>
      <c r="AJ908" s="12"/>
      <c r="AK908" s="12"/>
    </row>
    <row r="909" spans="1:37">
      <c r="A909" s="10">
        <v>192</v>
      </c>
      <c r="B909" s="11">
        <v>735</v>
      </c>
      <c r="C909" s="10" t="s">
        <v>935</v>
      </c>
      <c r="D909" s="10" t="s">
        <v>23</v>
      </c>
      <c r="E909" s="10"/>
      <c r="F909" s="10" t="s">
        <v>889</v>
      </c>
      <c r="G909" s="10" t="s">
        <v>62</v>
      </c>
      <c r="H909" s="9"/>
      <c r="I909" s="12"/>
      <c r="J909" s="12">
        <v>150</v>
      </c>
      <c r="K909" s="12">
        <v>0</v>
      </c>
      <c r="L909" s="12">
        <v>17716</v>
      </c>
      <c r="M909" s="11">
        <f>L909*4+AI909-AJ909</f>
        <v>70864</v>
      </c>
      <c r="N909" s="13"/>
      <c r="O909" s="12"/>
      <c r="P909" s="12"/>
      <c r="Q909" s="12"/>
      <c r="R909" s="12"/>
      <c r="S909" s="12"/>
      <c r="T909" s="12"/>
      <c r="U909" s="12"/>
      <c r="V909" s="12">
        <v>18466</v>
      </c>
      <c r="W909" s="12"/>
      <c r="X909" s="12"/>
      <c r="Y909" s="12"/>
      <c r="Z909" s="12"/>
      <c r="AA909" s="12"/>
      <c r="AB909" s="12"/>
      <c r="AC909" s="12"/>
      <c r="AD909" s="12"/>
      <c r="AE909" s="12"/>
      <c r="AF909" s="13">
        <f>H909+I909+J909+K909+M909-N909</f>
        <v>71014</v>
      </c>
      <c r="AG909" s="13">
        <f>SUM(O909:AE909)</f>
        <v>18466</v>
      </c>
      <c r="AH909" s="13">
        <f>AF909-AG909</f>
        <v>52548</v>
      </c>
      <c r="AI909" s="12"/>
      <c r="AJ909" s="12"/>
      <c r="AK909" s="12"/>
    </row>
    <row r="910" spans="1:37">
      <c r="A910" s="10">
        <v>193</v>
      </c>
      <c r="B910" s="11">
        <v>1528</v>
      </c>
      <c r="C910" s="10" t="s">
        <v>936</v>
      </c>
      <c r="D910" s="10" t="s">
        <v>23</v>
      </c>
      <c r="E910" s="10"/>
      <c r="F910" s="10" t="s">
        <v>889</v>
      </c>
      <c r="G910" s="10" t="s">
        <v>62</v>
      </c>
      <c r="H910" s="9"/>
      <c r="I910" s="12"/>
      <c r="J910" s="12">
        <v>150</v>
      </c>
      <c r="K910" s="12">
        <v>0</v>
      </c>
      <c r="L910" s="12">
        <v>17716</v>
      </c>
      <c r="M910" s="11">
        <f>L910*4+AI910-AJ910</f>
        <v>70864</v>
      </c>
      <c r="N910" s="13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  <c r="AA910" s="12"/>
      <c r="AB910" s="12"/>
      <c r="AC910" s="12"/>
      <c r="AD910" s="12"/>
      <c r="AE910" s="12"/>
      <c r="AF910" s="13">
        <f>H910+I910+J910+K910+M910-N910</f>
        <v>71014</v>
      </c>
      <c r="AG910" s="13">
        <f>SUM(O910:AE910)</f>
        <v>0</v>
      </c>
      <c r="AH910" s="13">
        <f>AF910-AG910</f>
        <v>71014</v>
      </c>
      <c r="AI910" s="12"/>
      <c r="AJ910" s="12"/>
      <c r="AK910" s="12"/>
    </row>
    <row r="911" spans="1:37">
      <c r="A911" s="10">
        <v>194</v>
      </c>
      <c r="B911" s="11">
        <v>1383</v>
      </c>
      <c r="C911" s="10" t="s">
        <v>937</v>
      </c>
      <c r="D911" s="10" t="s">
        <v>23</v>
      </c>
      <c r="E911" s="10"/>
      <c r="F911" s="10" t="s">
        <v>889</v>
      </c>
      <c r="G911" s="10" t="s">
        <v>62</v>
      </c>
      <c r="H911" s="9"/>
      <c r="I911" s="12"/>
      <c r="J911" s="12">
        <v>150</v>
      </c>
      <c r="K911" s="12">
        <v>0</v>
      </c>
      <c r="L911" s="12">
        <v>17716</v>
      </c>
      <c r="M911" s="11">
        <f>L911*4+AI911-AJ911</f>
        <v>70864</v>
      </c>
      <c r="N911" s="13"/>
      <c r="O911" s="12"/>
      <c r="P911" s="12"/>
      <c r="Q911" s="12"/>
      <c r="R911" s="12"/>
      <c r="S911" s="12"/>
      <c r="T911" s="12">
        <v>17866</v>
      </c>
      <c r="U911" s="12"/>
      <c r="V911" s="12"/>
      <c r="W911" s="12"/>
      <c r="X911" s="12"/>
      <c r="Y911" s="12"/>
      <c r="Z911" s="12"/>
      <c r="AA911" s="12"/>
      <c r="AB911" s="12"/>
      <c r="AC911" s="12"/>
      <c r="AD911" s="12"/>
      <c r="AE911" s="12"/>
      <c r="AF911" s="13">
        <f>H911+I911+J911+K911+M911-N911</f>
        <v>71014</v>
      </c>
      <c r="AG911" s="13">
        <f>SUM(O911:AE911)</f>
        <v>17866</v>
      </c>
      <c r="AH911" s="13">
        <f>AF911-AG911</f>
        <v>53148</v>
      </c>
      <c r="AI911" s="12"/>
      <c r="AJ911" s="12"/>
      <c r="AK911" s="12"/>
    </row>
    <row r="912" spans="1:37">
      <c r="A912" s="10">
        <v>195</v>
      </c>
      <c r="B912" s="11">
        <v>559</v>
      </c>
      <c r="C912" s="10" t="s">
        <v>938</v>
      </c>
      <c r="D912" s="10" t="s">
        <v>28</v>
      </c>
      <c r="E912" s="10"/>
      <c r="F912" s="10" t="s">
        <v>889</v>
      </c>
      <c r="G912" s="10" t="s">
        <v>62</v>
      </c>
      <c r="H912" s="9"/>
      <c r="I912" s="12"/>
      <c r="J912" s="12">
        <v>150</v>
      </c>
      <c r="K912" s="12">
        <v>0</v>
      </c>
      <c r="L912" s="12">
        <v>17716</v>
      </c>
      <c r="M912" s="11">
        <f>L912*4+AI912-AJ912</f>
        <v>70864</v>
      </c>
      <c r="N912" s="13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  <c r="AA912" s="12"/>
      <c r="AB912" s="12"/>
      <c r="AC912" s="12"/>
      <c r="AD912" s="12"/>
      <c r="AE912" s="12"/>
      <c r="AF912" s="13">
        <f>H912+I912+J912+K912+M912-N912</f>
        <v>71014</v>
      </c>
      <c r="AG912" s="13">
        <f>SUM(O912:AE912)</f>
        <v>0</v>
      </c>
      <c r="AH912" s="13">
        <f>AF912-AG912</f>
        <v>71014</v>
      </c>
      <c r="AI912" s="12"/>
      <c r="AJ912" s="12"/>
      <c r="AK912" s="12"/>
    </row>
    <row r="913" spans="1:37">
      <c r="A913" s="10">
        <v>196</v>
      </c>
      <c r="B913" s="11">
        <v>632</v>
      </c>
      <c r="C913" s="10" t="s">
        <v>939</v>
      </c>
      <c r="D913" s="10" t="s">
        <v>28</v>
      </c>
      <c r="E913" s="10"/>
      <c r="F913" s="10" t="s">
        <v>889</v>
      </c>
      <c r="G913" s="10" t="s">
        <v>62</v>
      </c>
      <c r="H913" s="9"/>
      <c r="I913" s="12"/>
      <c r="J913" s="12">
        <v>150</v>
      </c>
      <c r="K913" s="12">
        <v>0</v>
      </c>
      <c r="L913" s="12">
        <v>17716</v>
      </c>
      <c r="M913" s="11">
        <f>L913*4+AI913-AJ913</f>
        <v>70864</v>
      </c>
      <c r="N913" s="13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  <c r="AA913" s="12"/>
      <c r="AB913" s="12"/>
      <c r="AC913" s="12"/>
      <c r="AD913" s="12"/>
      <c r="AE913" s="12"/>
      <c r="AF913" s="13">
        <f>H913+I913+J913+K913+M913-N913</f>
        <v>71014</v>
      </c>
      <c r="AG913" s="13">
        <f>SUM(O913:AE913)</f>
        <v>0</v>
      </c>
      <c r="AH913" s="13">
        <f>AF913-AG913</f>
        <v>71014</v>
      </c>
      <c r="AI913" s="12"/>
      <c r="AJ913" s="12"/>
      <c r="AK913" s="12"/>
    </row>
    <row r="914" spans="1:37">
      <c r="A914" s="10">
        <v>197</v>
      </c>
      <c r="B914" s="11">
        <v>640</v>
      </c>
      <c r="C914" s="10" t="s">
        <v>940</v>
      </c>
      <c r="D914" s="10" t="s">
        <v>28</v>
      </c>
      <c r="E914" s="10"/>
      <c r="F914" s="10" t="s">
        <v>889</v>
      </c>
      <c r="G914" s="10" t="s">
        <v>62</v>
      </c>
      <c r="H914" s="9"/>
      <c r="I914" s="12"/>
      <c r="J914" s="12">
        <v>150</v>
      </c>
      <c r="K914" s="12">
        <v>0</v>
      </c>
      <c r="L914" s="12">
        <v>17716</v>
      </c>
      <c r="M914" s="11">
        <f>L914*4+AI914-AJ914</f>
        <v>70864</v>
      </c>
      <c r="N914" s="13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  <c r="AA914" s="12"/>
      <c r="AB914" s="12"/>
      <c r="AC914" s="12"/>
      <c r="AD914" s="12"/>
      <c r="AE914" s="12"/>
      <c r="AF914" s="13">
        <f>H914+I914+J914+K914+M914-N914</f>
        <v>71014</v>
      </c>
      <c r="AG914" s="13">
        <f>SUM(O914:AE914)</f>
        <v>0</v>
      </c>
      <c r="AH914" s="13">
        <f>AF914-AG914</f>
        <v>71014</v>
      </c>
      <c r="AI914" s="12"/>
      <c r="AJ914" s="12"/>
      <c r="AK914" s="12"/>
    </row>
    <row r="915" spans="1:37">
      <c r="A915" s="10">
        <v>198</v>
      </c>
      <c r="B915" s="11">
        <v>553</v>
      </c>
      <c r="C915" s="10" t="s">
        <v>941</v>
      </c>
      <c r="D915" s="10" t="s">
        <v>23</v>
      </c>
      <c r="E915" s="10"/>
      <c r="F915" s="10" t="s">
        <v>889</v>
      </c>
      <c r="G915" s="10" t="s">
        <v>62</v>
      </c>
      <c r="H915" s="9"/>
      <c r="I915" s="12"/>
      <c r="J915" s="12">
        <v>150</v>
      </c>
      <c r="K915" s="12">
        <v>0</v>
      </c>
      <c r="L915" s="12">
        <v>17716</v>
      </c>
      <c r="M915" s="11">
        <f>L915*4+AI915-AJ915</f>
        <v>70864</v>
      </c>
      <c r="N915" s="13"/>
      <c r="O915" s="12"/>
      <c r="P915" s="12"/>
      <c r="Q915" s="12"/>
      <c r="R915" s="12"/>
      <c r="S915" s="12"/>
      <c r="T915" s="12"/>
      <c r="U915" s="12"/>
      <c r="V915" s="12">
        <v>18466</v>
      </c>
      <c r="W915" s="12"/>
      <c r="X915" s="12"/>
      <c r="Y915" s="12"/>
      <c r="Z915" s="12"/>
      <c r="AA915" s="12"/>
      <c r="AB915" s="12"/>
      <c r="AC915" s="12"/>
      <c r="AD915" s="12"/>
      <c r="AE915" s="12"/>
      <c r="AF915" s="13">
        <f>H915+I915+J915+K915+M915-N915</f>
        <v>71014</v>
      </c>
      <c r="AG915" s="13">
        <f>SUM(O915:AE915)</f>
        <v>18466</v>
      </c>
      <c r="AH915" s="13">
        <f>AF915-AG915</f>
        <v>52548</v>
      </c>
      <c r="AI915" s="12"/>
      <c r="AJ915" s="12"/>
      <c r="AK915" s="12"/>
    </row>
    <row r="916" spans="1:37">
      <c r="A916" s="10">
        <v>199</v>
      </c>
      <c r="B916" s="22">
        <v>2221</v>
      </c>
      <c r="C916" s="21" t="s">
        <v>942</v>
      </c>
      <c r="D916" s="21" t="s">
        <v>23</v>
      </c>
      <c r="E916" s="21" t="s">
        <v>24</v>
      </c>
      <c r="F916" s="21" t="s">
        <v>889</v>
      </c>
      <c r="G916" s="21" t="s">
        <v>943</v>
      </c>
      <c r="H916" s="9">
        <v>6000</v>
      </c>
      <c r="I916" s="12">
        <v>1200</v>
      </c>
      <c r="J916" s="12">
        <v>150</v>
      </c>
      <c r="K916" s="12">
        <v>0</v>
      </c>
      <c r="L916" s="12">
        <v>17716</v>
      </c>
      <c r="M916" s="11">
        <f>L916*4+AI916-AJ916</f>
        <v>70864</v>
      </c>
      <c r="N916" s="13"/>
      <c r="O916" s="12">
        <v>6000</v>
      </c>
      <c r="P916" s="12">
        <v>1200</v>
      </c>
      <c r="Q916" s="12"/>
      <c r="R916" s="11">
        <f>17716+150</f>
        <v>17866</v>
      </c>
      <c r="S916" s="12"/>
      <c r="T916" s="12"/>
      <c r="U916" s="12"/>
      <c r="V916" s="12"/>
      <c r="W916" s="12"/>
      <c r="X916" s="12"/>
      <c r="Y916" s="12"/>
      <c r="Z916" s="12"/>
      <c r="AA916" s="12"/>
      <c r="AB916" s="12"/>
      <c r="AC916" s="12"/>
      <c r="AD916" s="12"/>
      <c r="AE916" s="12"/>
      <c r="AF916" s="13">
        <f>H916+I916+J916+K916+M916-N916</f>
        <v>78214</v>
      </c>
      <c r="AG916" s="13">
        <f>SUM(O916:AE916)</f>
        <v>25066</v>
      </c>
      <c r="AH916" s="13">
        <f>AF916-AG916</f>
        <v>53148</v>
      </c>
      <c r="AI916" s="12"/>
      <c r="AJ916" s="12"/>
      <c r="AK916" s="12"/>
    </row>
    <row r="917" spans="1:37">
      <c r="A917" s="10">
        <v>200</v>
      </c>
      <c r="B917" s="10">
        <v>1760</v>
      </c>
      <c r="C917" s="10" t="s">
        <v>944</v>
      </c>
      <c r="D917" s="11" t="s">
        <v>28</v>
      </c>
      <c r="E917" s="11"/>
      <c r="F917" s="10" t="s">
        <v>889</v>
      </c>
      <c r="G917" s="10" t="s">
        <v>62</v>
      </c>
      <c r="H917" s="12"/>
      <c r="I917" s="12"/>
      <c r="J917" s="12">
        <v>150</v>
      </c>
      <c r="K917" s="12">
        <v>0</v>
      </c>
      <c r="L917" s="12">
        <v>17716</v>
      </c>
      <c r="M917" s="11">
        <f>L917*4+AI917-AJ917</f>
        <v>70864</v>
      </c>
      <c r="N917" s="13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  <c r="AA917" s="12"/>
      <c r="AB917" s="12"/>
      <c r="AC917" s="12"/>
      <c r="AD917" s="12"/>
      <c r="AE917" s="12"/>
      <c r="AF917" s="13">
        <f>H917+I917+J917+K917+M917-N917</f>
        <v>71014</v>
      </c>
      <c r="AG917" s="13">
        <f>SUM(O917:AE917)</f>
        <v>0</v>
      </c>
      <c r="AH917" s="13">
        <f>AF917-AG917</f>
        <v>71014</v>
      </c>
      <c r="AI917" s="12"/>
      <c r="AJ917" s="12"/>
      <c r="AK917" s="12"/>
    </row>
    <row r="918" spans="1:37">
      <c r="A918" s="10">
        <v>201</v>
      </c>
      <c r="B918" s="11">
        <v>1559</v>
      </c>
      <c r="C918" s="10" t="s">
        <v>945</v>
      </c>
      <c r="D918" s="10" t="s">
        <v>23</v>
      </c>
      <c r="E918" s="10"/>
      <c r="F918" s="10" t="s">
        <v>889</v>
      </c>
      <c r="G918" s="10" t="s">
        <v>62</v>
      </c>
      <c r="H918" s="9"/>
      <c r="I918" s="12"/>
      <c r="J918" s="12">
        <v>150</v>
      </c>
      <c r="K918" s="12">
        <v>0</v>
      </c>
      <c r="L918" s="12">
        <v>17716</v>
      </c>
      <c r="M918" s="11">
        <f>L918*4+AI918-AJ918</f>
        <v>70864</v>
      </c>
      <c r="N918" s="13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  <c r="AA918" s="12"/>
      <c r="AB918" s="12"/>
      <c r="AC918" s="12"/>
      <c r="AD918" s="12"/>
      <c r="AE918" s="12"/>
      <c r="AF918" s="13">
        <f>H918+I918+J918+K918+M918-N918</f>
        <v>71014</v>
      </c>
      <c r="AG918" s="13">
        <f>SUM(O918:AE918)</f>
        <v>0</v>
      </c>
      <c r="AH918" s="13">
        <f>AF918-AG918</f>
        <v>71014</v>
      </c>
      <c r="AI918" s="12"/>
      <c r="AJ918" s="12"/>
      <c r="AK918" s="12"/>
    </row>
    <row r="919" spans="1:37">
      <c r="A919" s="10">
        <v>202</v>
      </c>
      <c r="B919" s="11">
        <v>555</v>
      </c>
      <c r="C919" s="10" t="s">
        <v>946</v>
      </c>
      <c r="D919" s="10" t="s">
        <v>28</v>
      </c>
      <c r="E919" s="10"/>
      <c r="F919" s="10" t="s">
        <v>889</v>
      </c>
      <c r="G919" s="10" t="s">
        <v>62</v>
      </c>
      <c r="H919" s="9"/>
      <c r="I919" s="12"/>
      <c r="J919" s="12">
        <v>150</v>
      </c>
      <c r="K919" s="12">
        <v>0</v>
      </c>
      <c r="L919" s="12">
        <v>17716</v>
      </c>
      <c r="M919" s="11">
        <f>L919*4+AI919-AJ919</f>
        <v>70864</v>
      </c>
      <c r="N919" s="13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  <c r="AA919" s="12"/>
      <c r="AB919" s="12"/>
      <c r="AC919" s="12"/>
      <c r="AD919" s="12"/>
      <c r="AE919" s="12"/>
      <c r="AF919" s="13">
        <f>H919+I919+J919+K919+M919-N919</f>
        <v>71014</v>
      </c>
      <c r="AG919" s="13">
        <f>SUM(O919:AE919)</f>
        <v>0</v>
      </c>
      <c r="AH919" s="13">
        <f>AF919-AG919</f>
        <v>71014</v>
      </c>
      <c r="AI919" s="12"/>
      <c r="AJ919" s="12"/>
      <c r="AK919" s="12"/>
    </row>
    <row r="920" spans="1:37">
      <c r="A920" s="10">
        <v>203</v>
      </c>
      <c r="B920" s="11">
        <v>1896</v>
      </c>
      <c r="C920" s="10" t="s">
        <v>947</v>
      </c>
      <c r="D920" s="10" t="s">
        <v>28</v>
      </c>
      <c r="E920" s="10"/>
      <c r="F920" s="10" t="s">
        <v>889</v>
      </c>
      <c r="G920" s="10" t="s">
        <v>62</v>
      </c>
      <c r="H920" s="9"/>
      <c r="I920" s="12"/>
      <c r="J920" s="12">
        <v>150</v>
      </c>
      <c r="K920" s="12">
        <v>0</v>
      </c>
      <c r="L920" s="12">
        <v>17716</v>
      </c>
      <c r="M920" s="11">
        <f>L920*4+AI920-AJ920</f>
        <v>70864</v>
      </c>
      <c r="N920" s="13">
        <v>3543</v>
      </c>
      <c r="O920" s="12"/>
      <c r="P920" s="12"/>
      <c r="Q920" s="12"/>
      <c r="R920" s="12"/>
      <c r="S920" s="12"/>
      <c r="T920" s="12">
        <v>67471</v>
      </c>
      <c r="U920" s="12"/>
      <c r="V920" s="12"/>
      <c r="W920" s="12"/>
      <c r="X920" s="12"/>
      <c r="Y920" s="12"/>
      <c r="Z920" s="12"/>
      <c r="AA920" s="12"/>
      <c r="AB920" s="12"/>
      <c r="AC920" s="12"/>
      <c r="AD920" s="12"/>
      <c r="AE920" s="12"/>
      <c r="AF920" s="13">
        <f>H920+I920+J920+K920+M920-N920</f>
        <v>67471</v>
      </c>
      <c r="AG920" s="13">
        <f>SUM(O920:AE920)</f>
        <v>67471</v>
      </c>
      <c r="AH920" s="13">
        <f>AF920-AG920</f>
        <v>0</v>
      </c>
      <c r="AI920" s="12"/>
      <c r="AJ920" s="12"/>
      <c r="AK920" s="12"/>
    </row>
    <row r="921" spans="1:37">
      <c r="A921" s="10">
        <v>204</v>
      </c>
      <c r="B921" s="22">
        <v>2217</v>
      </c>
      <c r="C921" s="21" t="s">
        <v>948</v>
      </c>
      <c r="D921" s="21" t="s">
        <v>28</v>
      </c>
      <c r="E921" s="21" t="s">
        <v>24</v>
      </c>
      <c r="F921" s="21" t="s">
        <v>889</v>
      </c>
      <c r="G921" s="21" t="s">
        <v>62</v>
      </c>
      <c r="H921" s="9">
        <v>6000</v>
      </c>
      <c r="I921" s="12">
        <v>1200</v>
      </c>
      <c r="J921" s="12">
        <v>150</v>
      </c>
      <c r="K921" s="12">
        <v>0</v>
      </c>
      <c r="L921" s="12">
        <v>17716</v>
      </c>
      <c r="M921" s="11">
        <f>L921*4+AI921-AJ921</f>
        <v>70864</v>
      </c>
      <c r="N921" s="13"/>
      <c r="O921" s="12">
        <v>6000</v>
      </c>
      <c r="P921" s="12">
        <v>1200</v>
      </c>
      <c r="Q921" s="12"/>
      <c r="R921" s="11">
        <f>2650+150</f>
        <v>2800</v>
      </c>
      <c r="S921" s="12"/>
      <c r="T921" s="12"/>
      <c r="U921" s="12"/>
      <c r="V921" s="12"/>
      <c r="W921" s="12"/>
      <c r="X921" s="12"/>
      <c r="Y921" s="12"/>
      <c r="Z921" s="12"/>
      <c r="AA921" s="12"/>
      <c r="AB921" s="12"/>
      <c r="AC921" s="12"/>
      <c r="AD921" s="12"/>
      <c r="AE921" s="12"/>
      <c r="AF921" s="13">
        <f>H921+I921+J921+K921+M921-N921</f>
        <v>78214</v>
      </c>
      <c r="AG921" s="13">
        <f>SUM(O921:AE921)</f>
        <v>10000</v>
      </c>
      <c r="AH921" s="13">
        <f>AF921-AG921</f>
        <v>68214</v>
      </c>
      <c r="AI921" s="12"/>
      <c r="AJ921" s="12"/>
      <c r="AK921" s="12"/>
    </row>
    <row r="922" spans="1:37">
      <c r="A922" s="10">
        <v>205</v>
      </c>
      <c r="B922" s="11">
        <v>552</v>
      </c>
      <c r="C922" s="10" t="s">
        <v>949</v>
      </c>
      <c r="D922" s="10" t="s">
        <v>23</v>
      </c>
      <c r="E922" s="10"/>
      <c r="F922" s="10" t="s">
        <v>889</v>
      </c>
      <c r="G922" s="10" t="s">
        <v>62</v>
      </c>
      <c r="H922" s="9"/>
      <c r="I922" s="12"/>
      <c r="J922" s="12">
        <v>150</v>
      </c>
      <c r="K922" s="12">
        <v>0</v>
      </c>
      <c r="L922" s="12">
        <v>17716</v>
      </c>
      <c r="M922" s="11">
        <f>L922*4+AI922-AJ922</f>
        <v>70864</v>
      </c>
      <c r="N922" s="13"/>
      <c r="O922" s="12"/>
      <c r="P922" s="12"/>
      <c r="Q922" s="12"/>
      <c r="R922" s="12"/>
      <c r="S922" s="12"/>
      <c r="T922" s="12">
        <v>18466</v>
      </c>
      <c r="U922" s="12"/>
      <c r="V922" s="12"/>
      <c r="W922" s="12"/>
      <c r="X922" s="12"/>
      <c r="Y922" s="12"/>
      <c r="Z922" s="12"/>
      <c r="AA922" s="12"/>
      <c r="AB922" s="12"/>
      <c r="AC922" s="12"/>
      <c r="AD922" s="12"/>
      <c r="AE922" s="12"/>
      <c r="AF922" s="13">
        <f>H922+I922+J922+K922+M922-N922</f>
        <v>71014</v>
      </c>
      <c r="AG922" s="13">
        <f>SUM(O922:AE922)</f>
        <v>18466</v>
      </c>
      <c r="AH922" s="13">
        <f>AF922-AG922</f>
        <v>52548</v>
      </c>
      <c r="AI922" s="12"/>
      <c r="AJ922" s="12"/>
      <c r="AK922" s="12"/>
    </row>
    <row r="923" spans="1:37">
      <c r="A923" s="10">
        <v>206</v>
      </c>
      <c r="B923" s="11">
        <v>571</v>
      </c>
      <c r="C923" s="10" t="s">
        <v>950</v>
      </c>
      <c r="D923" s="10" t="s">
        <v>28</v>
      </c>
      <c r="E923" s="10"/>
      <c r="F923" s="10" t="s">
        <v>889</v>
      </c>
      <c r="G923" s="10" t="s">
        <v>62</v>
      </c>
      <c r="H923" s="9"/>
      <c r="I923" s="12"/>
      <c r="J923" s="12">
        <v>150</v>
      </c>
      <c r="K923" s="12">
        <v>0</v>
      </c>
      <c r="L923" s="12">
        <v>17716</v>
      </c>
      <c r="M923" s="11">
        <f>L923*4+AI923-AJ923</f>
        <v>70864</v>
      </c>
      <c r="N923" s="13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  <c r="AA923" s="12"/>
      <c r="AB923" s="12"/>
      <c r="AC923" s="12"/>
      <c r="AD923" s="12"/>
      <c r="AE923" s="12"/>
      <c r="AF923" s="13">
        <f>H923+I923+J923+K923+M923-N923</f>
        <v>71014</v>
      </c>
      <c r="AG923" s="13">
        <f>SUM(O923:AE923)</f>
        <v>0</v>
      </c>
      <c r="AH923" s="13">
        <f>AF923-AG923</f>
        <v>71014</v>
      </c>
      <c r="AI923" s="12"/>
      <c r="AJ923" s="12"/>
      <c r="AK923" s="12"/>
    </row>
    <row r="924" spans="1:37">
      <c r="A924" s="10">
        <v>207</v>
      </c>
      <c r="B924" s="11">
        <v>660</v>
      </c>
      <c r="C924" s="10" t="s">
        <v>951</v>
      </c>
      <c r="D924" s="10" t="s">
        <v>28</v>
      </c>
      <c r="E924" s="10"/>
      <c r="F924" s="10" t="s">
        <v>889</v>
      </c>
      <c r="G924" s="10" t="s">
        <v>62</v>
      </c>
      <c r="H924" s="9"/>
      <c r="I924" s="12"/>
      <c r="J924" s="12">
        <v>150</v>
      </c>
      <c r="K924" s="12">
        <v>0</v>
      </c>
      <c r="L924" s="12">
        <v>17716</v>
      </c>
      <c r="M924" s="11">
        <f>L924*4+AI924-AJ924</f>
        <v>70864</v>
      </c>
      <c r="N924" s="13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  <c r="AA924" s="12"/>
      <c r="AB924" s="12"/>
      <c r="AC924" s="12"/>
      <c r="AD924" s="12"/>
      <c r="AE924" s="12"/>
      <c r="AF924" s="13">
        <f>H924+I924+J924+K924+M924-N924</f>
        <v>71014</v>
      </c>
      <c r="AG924" s="13">
        <f>SUM(O924:AE924)</f>
        <v>0</v>
      </c>
      <c r="AH924" s="13">
        <f>AF924-AG924</f>
        <v>71014</v>
      </c>
      <c r="AI924" s="12"/>
      <c r="AJ924" s="12"/>
      <c r="AK924" s="12"/>
    </row>
    <row r="925" spans="1:37">
      <c r="A925" s="10">
        <v>208</v>
      </c>
      <c r="B925" s="11">
        <v>694</v>
      </c>
      <c r="C925" s="10" t="s">
        <v>952</v>
      </c>
      <c r="D925" s="10" t="s">
        <v>23</v>
      </c>
      <c r="E925" s="10"/>
      <c r="F925" s="10" t="s">
        <v>889</v>
      </c>
      <c r="G925" s="10" t="s">
        <v>62</v>
      </c>
      <c r="H925" s="9"/>
      <c r="I925" s="12"/>
      <c r="J925" s="12">
        <v>150</v>
      </c>
      <c r="K925" s="12">
        <v>0</v>
      </c>
      <c r="L925" s="12">
        <v>17716</v>
      </c>
      <c r="M925" s="11">
        <f>L925*4+AI925-AJ925</f>
        <v>70864</v>
      </c>
      <c r="N925" s="13"/>
      <c r="O925" s="12"/>
      <c r="P925" s="12"/>
      <c r="Q925" s="12"/>
      <c r="R925" s="12"/>
      <c r="S925" s="12">
        <v>17866</v>
      </c>
      <c r="T925" s="12"/>
      <c r="U925" s="12"/>
      <c r="V925" s="12">
        <v>17866</v>
      </c>
      <c r="W925" s="12"/>
      <c r="X925" s="12"/>
      <c r="Y925" s="12"/>
      <c r="Z925" s="12"/>
      <c r="AA925" s="12"/>
      <c r="AB925" s="12"/>
      <c r="AC925" s="12"/>
      <c r="AD925" s="12"/>
      <c r="AE925" s="12"/>
      <c r="AF925" s="13">
        <f>H925+I925+J925+K925+M925-N925</f>
        <v>71014</v>
      </c>
      <c r="AG925" s="13">
        <f>SUM(O925:AE925)</f>
        <v>35732</v>
      </c>
      <c r="AH925" s="13">
        <f>AF925-AG925</f>
        <v>35282</v>
      </c>
      <c r="AI925" s="12"/>
      <c r="AJ925" s="12"/>
      <c r="AK925" s="12"/>
    </row>
    <row r="926" spans="1:37">
      <c r="A926" s="10">
        <v>209</v>
      </c>
      <c r="B926" s="11">
        <v>1888</v>
      </c>
      <c r="C926" s="10" t="s">
        <v>953</v>
      </c>
      <c r="D926" s="10" t="s">
        <v>28</v>
      </c>
      <c r="E926" s="10"/>
      <c r="F926" s="10" t="s">
        <v>889</v>
      </c>
      <c r="G926" s="10" t="s">
        <v>62</v>
      </c>
      <c r="H926" s="9"/>
      <c r="I926" s="12"/>
      <c r="J926" s="12">
        <v>150</v>
      </c>
      <c r="K926" s="12">
        <v>0</v>
      </c>
      <c r="L926" s="12">
        <v>17716</v>
      </c>
      <c r="M926" s="11">
        <f>L926*4+AI926-AJ926</f>
        <v>70864</v>
      </c>
      <c r="N926" s="13"/>
      <c r="O926" s="12"/>
      <c r="P926" s="12"/>
      <c r="Q926" s="12"/>
      <c r="R926" s="12"/>
      <c r="S926" s="12"/>
      <c r="T926" s="12"/>
      <c r="U926" s="12">
        <v>18466</v>
      </c>
      <c r="V926" s="12"/>
      <c r="W926" s="12"/>
      <c r="X926" s="12"/>
      <c r="Y926" s="12"/>
      <c r="Z926" s="12"/>
      <c r="AA926" s="12"/>
      <c r="AB926" s="12"/>
      <c r="AC926" s="12"/>
      <c r="AD926" s="12"/>
      <c r="AE926" s="12"/>
      <c r="AF926" s="13">
        <f>H926+I926+J926+K926+M926-N926</f>
        <v>71014</v>
      </c>
      <c r="AG926" s="13">
        <f>SUM(O926:AE926)</f>
        <v>18466</v>
      </c>
      <c r="AH926" s="13">
        <f>AF926-AG926</f>
        <v>52548</v>
      </c>
      <c r="AI926" s="12"/>
      <c r="AJ926" s="12"/>
      <c r="AK926" s="12"/>
    </row>
    <row r="927" spans="1:37">
      <c r="A927" s="10">
        <v>210</v>
      </c>
      <c r="B927" s="43">
        <v>503</v>
      </c>
      <c r="C927" s="44" t="s">
        <v>954</v>
      </c>
      <c r="D927" s="44" t="s">
        <v>28</v>
      </c>
      <c r="E927" s="44"/>
      <c r="F927" s="10" t="s">
        <v>955</v>
      </c>
      <c r="G927" s="10" t="s">
        <v>956</v>
      </c>
      <c r="H927" s="9"/>
      <c r="I927" s="12"/>
      <c r="J927" s="12">
        <v>150</v>
      </c>
      <c r="K927" s="12">
        <v>0</v>
      </c>
      <c r="L927" s="12">
        <v>17716</v>
      </c>
      <c r="M927" s="11">
        <f>L927*4+AI927-AJ927</f>
        <v>70864</v>
      </c>
      <c r="N927" s="13"/>
      <c r="O927" s="12"/>
      <c r="P927" s="12"/>
      <c r="Q927" s="12"/>
      <c r="R927" s="12"/>
      <c r="S927" s="12">
        <v>17866</v>
      </c>
      <c r="T927" s="12"/>
      <c r="U927" s="12"/>
      <c r="V927" s="12"/>
      <c r="W927" s="12"/>
      <c r="X927" s="12"/>
      <c r="Y927" s="12"/>
      <c r="Z927" s="12"/>
      <c r="AA927" s="12"/>
      <c r="AB927" s="12"/>
      <c r="AC927" s="12"/>
      <c r="AD927" s="12"/>
      <c r="AE927" s="12"/>
      <c r="AF927" s="13">
        <f>H927+I927+J927+K927+M927-N927</f>
        <v>71014</v>
      </c>
      <c r="AG927" s="13">
        <f>SUM(O927:AE927)</f>
        <v>17866</v>
      </c>
      <c r="AH927" s="13">
        <f>AF927-AG927</f>
        <v>53148</v>
      </c>
      <c r="AI927" s="12"/>
      <c r="AJ927" s="12"/>
      <c r="AK927" s="12"/>
    </row>
    <row r="928" spans="1:37">
      <c r="A928" s="10">
        <v>211</v>
      </c>
      <c r="B928" s="11">
        <v>585</v>
      </c>
      <c r="C928" s="10" t="s">
        <v>957</v>
      </c>
      <c r="D928" s="10" t="s">
        <v>23</v>
      </c>
      <c r="E928" s="10"/>
      <c r="F928" s="10" t="s">
        <v>955</v>
      </c>
      <c r="G928" s="10" t="s">
        <v>956</v>
      </c>
      <c r="H928" s="9"/>
      <c r="I928" s="12"/>
      <c r="J928" s="12">
        <v>150</v>
      </c>
      <c r="K928" s="12">
        <v>0</v>
      </c>
      <c r="L928" s="12">
        <v>17716</v>
      </c>
      <c r="M928" s="11">
        <f>L928*4+AI928-AJ928</f>
        <v>70864</v>
      </c>
      <c r="N928" s="13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  <c r="AA928" s="12"/>
      <c r="AB928" s="12"/>
      <c r="AC928" s="12"/>
      <c r="AD928" s="12"/>
      <c r="AE928" s="12"/>
      <c r="AF928" s="13">
        <f>H928+I928+J928+K928+M928-N928</f>
        <v>71014</v>
      </c>
      <c r="AG928" s="13">
        <f>SUM(O928:AE928)</f>
        <v>0</v>
      </c>
      <c r="AH928" s="13">
        <f>AF928-AG928</f>
        <v>71014</v>
      </c>
      <c r="AI928" s="12"/>
      <c r="AJ928" s="12"/>
      <c r="AK928" s="12"/>
    </row>
    <row r="929" spans="1:37">
      <c r="A929" s="10">
        <v>212</v>
      </c>
      <c r="B929" s="43">
        <v>544</v>
      </c>
      <c r="C929" s="44" t="s">
        <v>958</v>
      </c>
      <c r="D929" s="44" t="s">
        <v>23</v>
      </c>
      <c r="E929" s="44"/>
      <c r="F929" s="10" t="s">
        <v>955</v>
      </c>
      <c r="G929" s="10" t="s">
        <v>902</v>
      </c>
      <c r="H929" s="9"/>
      <c r="I929" s="12"/>
      <c r="J929" s="12">
        <v>150</v>
      </c>
      <c r="K929" s="12">
        <v>0</v>
      </c>
      <c r="L929" s="12">
        <v>17716</v>
      </c>
      <c r="M929" s="11">
        <f>L929*4+AI929-AJ929</f>
        <v>70864</v>
      </c>
      <c r="N929" s="13">
        <v>3543</v>
      </c>
      <c r="O929" s="12"/>
      <c r="P929" s="12"/>
      <c r="Q929" s="12"/>
      <c r="R929" s="12"/>
      <c r="S929" s="12">
        <v>67471</v>
      </c>
      <c r="T929" s="12"/>
      <c r="U929" s="12"/>
      <c r="V929" s="12"/>
      <c r="W929" s="12"/>
      <c r="X929" s="12"/>
      <c r="Y929" s="12"/>
      <c r="Z929" s="12"/>
      <c r="AA929" s="12"/>
      <c r="AB929" s="12"/>
      <c r="AC929" s="12"/>
      <c r="AD929" s="12"/>
      <c r="AE929" s="12"/>
      <c r="AF929" s="13">
        <f>H929+I929+J929+K929+M929-N929</f>
        <v>67471</v>
      </c>
      <c r="AG929" s="13">
        <f>SUM(O929:AE929)</f>
        <v>67471</v>
      </c>
      <c r="AH929" s="13">
        <f>AF929-AG929</f>
        <v>0</v>
      </c>
      <c r="AI929" s="12"/>
      <c r="AJ929" s="12"/>
      <c r="AK929" s="12"/>
    </row>
    <row r="930" spans="1:37">
      <c r="A930" s="10">
        <v>213</v>
      </c>
      <c r="B930" s="11">
        <v>517</v>
      </c>
      <c r="C930" s="10" t="s">
        <v>959</v>
      </c>
      <c r="D930" s="10" t="s">
        <v>23</v>
      </c>
      <c r="E930" s="10"/>
      <c r="F930" s="10" t="s">
        <v>955</v>
      </c>
      <c r="G930" s="10" t="s">
        <v>956</v>
      </c>
      <c r="H930" s="9"/>
      <c r="I930" s="12"/>
      <c r="J930" s="12">
        <v>150</v>
      </c>
      <c r="K930" s="12">
        <v>0</v>
      </c>
      <c r="L930" s="12">
        <v>17716</v>
      </c>
      <c r="M930" s="11">
        <f>L930*4+AI930-AJ930</f>
        <v>70864</v>
      </c>
      <c r="N930" s="13"/>
      <c r="O930" s="12"/>
      <c r="P930" s="12"/>
      <c r="Q930" s="12"/>
      <c r="R930" s="12"/>
      <c r="S930" s="12"/>
      <c r="T930" s="12">
        <v>17856</v>
      </c>
      <c r="U930" s="12"/>
      <c r="V930" s="12"/>
      <c r="W930" s="12"/>
      <c r="X930" s="12"/>
      <c r="Y930" s="12"/>
      <c r="Z930" s="12"/>
      <c r="AA930" s="12"/>
      <c r="AB930" s="12"/>
      <c r="AC930" s="12"/>
      <c r="AD930" s="12"/>
      <c r="AE930" s="12"/>
      <c r="AF930" s="13">
        <f>H930+I930+J930+K930+M930-N930</f>
        <v>71014</v>
      </c>
      <c r="AG930" s="13">
        <f>SUM(O930:AE930)</f>
        <v>17856</v>
      </c>
      <c r="AH930" s="13">
        <f>AF930-AG930</f>
        <v>53158</v>
      </c>
      <c r="AI930" s="12"/>
      <c r="AJ930" s="12"/>
      <c r="AK930" s="12"/>
    </row>
    <row r="931" spans="1:37">
      <c r="A931" s="10">
        <v>214</v>
      </c>
      <c r="B931" s="11">
        <v>525</v>
      </c>
      <c r="C931" s="10" t="s">
        <v>960</v>
      </c>
      <c r="D931" s="10" t="s">
        <v>23</v>
      </c>
      <c r="E931" s="10"/>
      <c r="F931" s="10" t="s">
        <v>955</v>
      </c>
      <c r="G931" s="10" t="s">
        <v>902</v>
      </c>
      <c r="H931" s="9"/>
      <c r="I931" s="12"/>
      <c r="J931" s="12">
        <v>150</v>
      </c>
      <c r="K931" s="12">
        <v>0</v>
      </c>
      <c r="L931" s="12">
        <v>17716</v>
      </c>
      <c r="M931" s="11">
        <f>L931*4+AI931-AJ931</f>
        <v>70864</v>
      </c>
      <c r="N931" s="13"/>
      <c r="O931" s="12"/>
      <c r="P931" s="12"/>
      <c r="Q931" s="12"/>
      <c r="R931" s="12"/>
      <c r="S931" s="12">
        <v>17866</v>
      </c>
      <c r="T931" s="12"/>
      <c r="U931" s="12"/>
      <c r="V931" s="12">
        <v>17716</v>
      </c>
      <c r="W931" s="12"/>
      <c r="X931" s="12"/>
      <c r="Y931" s="12"/>
      <c r="Z931" s="12"/>
      <c r="AA931" s="12"/>
      <c r="AB931" s="12"/>
      <c r="AC931" s="12"/>
      <c r="AD931" s="12"/>
      <c r="AE931" s="12"/>
      <c r="AF931" s="13">
        <f>H931+I931+J931+K931+M931-N931</f>
        <v>71014</v>
      </c>
      <c r="AG931" s="13">
        <f>SUM(O931:AE931)</f>
        <v>35582</v>
      </c>
      <c r="AH931" s="13">
        <f>AF931-AG931</f>
        <v>35432</v>
      </c>
      <c r="AI931" s="12"/>
      <c r="AJ931" s="12"/>
      <c r="AK931" s="12"/>
    </row>
    <row r="932" spans="1:37">
      <c r="A932" s="10">
        <v>215</v>
      </c>
      <c r="B932" s="43">
        <v>1546</v>
      </c>
      <c r="C932" s="44" t="s">
        <v>961</v>
      </c>
      <c r="D932" s="44" t="s">
        <v>23</v>
      </c>
      <c r="E932" s="44"/>
      <c r="F932" s="10" t="s">
        <v>955</v>
      </c>
      <c r="G932" s="10" t="s">
        <v>902</v>
      </c>
      <c r="H932" s="9"/>
      <c r="I932" s="12"/>
      <c r="J932" s="12">
        <v>150</v>
      </c>
      <c r="K932" s="12">
        <v>0</v>
      </c>
      <c r="L932" s="12">
        <v>17716</v>
      </c>
      <c r="M932" s="11">
        <f>L932*4+AI932-AJ932</f>
        <v>70864</v>
      </c>
      <c r="N932" s="13"/>
      <c r="O932" s="12"/>
      <c r="P932" s="12"/>
      <c r="Q932" s="12"/>
      <c r="R932" s="12"/>
      <c r="S932" s="12">
        <v>17866</v>
      </c>
      <c r="T932" s="12"/>
      <c r="U932" s="12"/>
      <c r="V932" s="12">
        <v>17716</v>
      </c>
      <c r="W932" s="12"/>
      <c r="X932" s="12"/>
      <c r="Y932" s="12"/>
      <c r="Z932" s="12"/>
      <c r="AA932" s="12"/>
      <c r="AB932" s="12"/>
      <c r="AC932" s="12"/>
      <c r="AD932" s="12"/>
      <c r="AE932" s="12"/>
      <c r="AF932" s="13">
        <f>H932+I932+J932+K932+M932-N932</f>
        <v>71014</v>
      </c>
      <c r="AG932" s="13">
        <f>SUM(O932:AE932)</f>
        <v>35582</v>
      </c>
      <c r="AH932" s="13">
        <f>AF932-AG932</f>
        <v>35432</v>
      </c>
      <c r="AI932" s="12"/>
      <c r="AJ932" s="12"/>
      <c r="AK932" s="12"/>
    </row>
    <row r="933" spans="1:37">
      <c r="A933" s="10">
        <v>216</v>
      </c>
      <c r="B933" s="11">
        <v>527</v>
      </c>
      <c r="C933" s="10" t="s">
        <v>962</v>
      </c>
      <c r="D933" s="10" t="s">
        <v>23</v>
      </c>
      <c r="E933" s="10"/>
      <c r="F933" s="10" t="s">
        <v>955</v>
      </c>
      <c r="G933" s="10" t="s">
        <v>956</v>
      </c>
      <c r="H933" s="9"/>
      <c r="I933" s="12"/>
      <c r="J933" s="12">
        <v>150</v>
      </c>
      <c r="K933" s="12">
        <v>0</v>
      </c>
      <c r="L933" s="12">
        <v>17716</v>
      </c>
      <c r="M933" s="11">
        <f>L933*4+AI933-AJ933</f>
        <v>70864</v>
      </c>
      <c r="N933" s="13"/>
      <c r="O933" s="12"/>
      <c r="P933" s="12"/>
      <c r="Q933" s="12"/>
      <c r="R933" s="12"/>
      <c r="S933" s="12"/>
      <c r="T933" s="12"/>
      <c r="U933" s="12"/>
      <c r="V933" s="12">
        <v>17866</v>
      </c>
      <c r="W933" s="12"/>
      <c r="X933" s="12"/>
      <c r="Y933" s="12"/>
      <c r="Z933" s="12"/>
      <c r="AA933" s="12"/>
      <c r="AB933" s="12"/>
      <c r="AC933" s="12"/>
      <c r="AD933" s="12"/>
      <c r="AE933" s="12"/>
      <c r="AF933" s="13">
        <f>H933+I933+J933+K933+M933-N933</f>
        <v>71014</v>
      </c>
      <c r="AG933" s="13">
        <f>SUM(O933:AE933)</f>
        <v>17866</v>
      </c>
      <c r="AH933" s="13">
        <f>AF933-AG933</f>
        <v>53148</v>
      </c>
      <c r="AI933" s="12"/>
      <c r="AJ933" s="12"/>
      <c r="AK933" s="12">
        <v>300</v>
      </c>
    </row>
    <row r="934" spans="1:37">
      <c r="A934" s="10">
        <v>217</v>
      </c>
      <c r="B934" s="43">
        <v>580</v>
      </c>
      <c r="C934" s="44" t="s">
        <v>963</v>
      </c>
      <c r="D934" s="44" t="s">
        <v>23</v>
      </c>
      <c r="E934" s="44"/>
      <c r="F934" s="10" t="s">
        <v>955</v>
      </c>
      <c r="G934" s="10" t="s">
        <v>956</v>
      </c>
      <c r="H934" s="9"/>
      <c r="I934" s="12"/>
      <c r="J934" s="12">
        <v>150</v>
      </c>
      <c r="K934" s="12">
        <v>0</v>
      </c>
      <c r="L934" s="12">
        <v>17716</v>
      </c>
      <c r="M934" s="11">
        <f>L934*4+AI934-AJ934</f>
        <v>70864</v>
      </c>
      <c r="N934" s="13"/>
      <c r="O934" s="12"/>
      <c r="P934" s="12"/>
      <c r="Q934" s="12"/>
      <c r="R934" s="12"/>
      <c r="S934" s="12"/>
      <c r="T934" s="12">
        <v>17866</v>
      </c>
      <c r="U934" s="12"/>
      <c r="V934" s="12"/>
      <c r="W934" s="12"/>
      <c r="X934" s="12"/>
      <c r="Y934" s="12"/>
      <c r="Z934" s="12"/>
      <c r="AA934" s="12"/>
      <c r="AB934" s="12"/>
      <c r="AC934" s="12"/>
      <c r="AD934" s="12"/>
      <c r="AE934" s="12"/>
      <c r="AF934" s="13">
        <f>H934+I934+J934+K934+M934-N934</f>
        <v>71014</v>
      </c>
      <c r="AG934" s="13">
        <f>SUM(O934:AE934)</f>
        <v>17866</v>
      </c>
      <c r="AH934" s="13">
        <f>AF934-AG934</f>
        <v>53148</v>
      </c>
      <c r="AI934" s="12"/>
      <c r="AJ934" s="12"/>
      <c r="AK934" s="12"/>
    </row>
    <row r="935" spans="1:37">
      <c r="A935" s="10">
        <v>218</v>
      </c>
      <c r="B935" s="43">
        <v>1616</v>
      </c>
      <c r="C935" s="44" t="s">
        <v>964</v>
      </c>
      <c r="D935" s="44" t="s">
        <v>28</v>
      </c>
      <c r="E935" s="44"/>
      <c r="F935" s="10" t="s">
        <v>955</v>
      </c>
      <c r="G935" s="10" t="s">
        <v>902</v>
      </c>
      <c r="H935" s="9"/>
      <c r="I935" s="12"/>
      <c r="J935" s="12">
        <v>150</v>
      </c>
      <c r="K935" s="12">
        <v>0</v>
      </c>
      <c r="L935" s="12">
        <v>17716</v>
      </c>
      <c r="M935" s="11">
        <f>L935*4+AI935-AJ935</f>
        <v>70864</v>
      </c>
      <c r="N935" s="13"/>
      <c r="O935" s="12"/>
      <c r="P935" s="12"/>
      <c r="Q935" s="12"/>
      <c r="R935" s="12"/>
      <c r="S935" s="12"/>
      <c r="T935" s="12"/>
      <c r="U935" s="12">
        <v>17866</v>
      </c>
      <c r="V935" s="12"/>
      <c r="W935" s="12"/>
      <c r="X935" s="12"/>
      <c r="Y935" s="12"/>
      <c r="Z935" s="12"/>
      <c r="AA935" s="12"/>
      <c r="AB935" s="12"/>
      <c r="AC935" s="12"/>
      <c r="AD935" s="12"/>
      <c r="AE935" s="12"/>
      <c r="AF935" s="13">
        <f>H935+I935+J935+K935+M935-N935</f>
        <v>71014</v>
      </c>
      <c r="AG935" s="13">
        <f>SUM(O935:AE935)</f>
        <v>17866</v>
      </c>
      <c r="AH935" s="13">
        <f>AF935-AG935</f>
        <v>53148</v>
      </c>
      <c r="AI935" s="12"/>
      <c r="AJ935" s="12"/>
      <c r="AK935" s="12"/>
    </row>
    <row r="936" spans="1:37">
      <c r="A936" s="10">
        <v>219</v>
      </c>
      <c r="B936" s="27">
        <v>1629</v>
      </c>
      <c r="C936" s="26" t="s">
        <v>965</v>
      </c>
      <c r="D936" s="26" t="s">
        <v>28</v>
      </c>
      <c r="E936" s="26"/>
      <c r="F936" s="26" t="s">
        <v>955</v>
      </c>
      <c r="G936" s="26" t="s">
        <v>956</v>
      </c>
      <c r="H936" s="9"/>
      <c r="I936" s="12"/>
      <c r="J936" s="12">
        <v>150</v>
      </c>
      <c r="K936" s="12">
        <v>0</v>
      </c>
      <c r="L936" s="12">
        <v>8858</v>
      </c>
      <c r="M936" s="11">
        <f>L936*4+AI936-AJ936</f>
        <v>35432</v>
      </c>
      <c r="N936" s="13"/>
      <c r="O936" s="12"/>
      <c r="P936" s="12"/>
      <c r="Q936" s="12"/>
      <c r="R936" s="12"/>
      <c r="S936" s="12"/>
      <c r="T936" s="12">
        <v>9008</v>
      </c>
      <c r="U936" s="12"/>
      <c r="V936" s="12">
        <v>8858</v>
      </c>
      <c r="W936" s="12"/>
      <c r="X936" s="12"/>
      <c r="Y936" s="12"/>
      <c r="Z936" s="12"/>
      <c r="AA936" s="12"/>
      <c r="AB936" s="12"/>
      <c r="AC936" s="12"/>
      <c r="AD936" s="12"/>
      <c r="AE936" s="12"/>
      <c r="AF936" s="13">
        <f>H936+I936+J936+K936+M936-N936</f>
        <v>35582</v>
      </c>
      <c r="AG936" s="13">
        <f>SUM(O936:AE936)</f>
        <v>17866</v>
      </c>
      <c r="AH936" s="13">
        <f>AF936-AG936</f>
        <v>17716</v>
      </c>
      <c r="AI936" s="12"/>
      <c r="AJ936" s="12"/>
      <c r="AK936" s="12"/>
    </row>
    <row r="937" spans="1:37">
      <c r="A937" s="10">
        <v>220</v>
      </c>
      <c r="B937" s="11">
        <v>830</v>
      </c>
      <c r="C937" s="10" t="s">
        <v>966</v>
      </c>
      <c r="D937" s="10" t="s">
        <v>23</v>
      </c>
      <c r="E937" s="10"/>
      <c r="F937" s="10" t="s">
        <v>955</v>
      </c>
      <c r="G937" s="10" t="s">
        <v>956</v>
      </c>
      <c r="H937" s="9"/>
      <c r="I937" s="12"/>
      <c r="J937" s="12">
        <v>150</v>
      </c>
      <c r="K937" s="12">
        <v>0</v>
      </c>
      <c r="L937" s="12">
        <v>17716</v>
      </c>
      <c r="M937" s="11">
        <f>L937*4+AI937-AJ937</f>
        <v>71164</v>
      </c>
      <c r="N937" s="13"/>
      <c r="O937" s="12"/>
      <c r="P937" s="12"/>
      <c r="Q937" s="12"/>
      <c r="R937" s="12"/>
      <c r="S937" s="12"/>
      <c r="T937" s="12"/>
      <c r="U937" s="11">
        <f>18116+50</f>
        <v>18166</v>
      </c>
      <c r="V937" s="12"/>
      <c r="W937" s="12"/>
      <c r="X937" s="12"/>
      <c r="Y937" s="12"/>
      <c r="Z937" s="12"/>
      <c r="AA937" s="12"/>
      <c r="AB937" s="12"/>
      <c r="AC937" s="12"/>
      <c r="AD937" s="12"/>
      <c r="AE937" s="12"/>
      <c r="AF937" s="13">
        <f>H937+I937+J937+K937+M937-N937</f>
        <v>71314</v>
      </c>
      <c r="AG937" s="13">
        <f>SUM(O937:AE937)</f>
        <v>18166</v>
      </c>
      <c r="AH937" s="13">
        <f>AF937-AG937</f>
        <v>53148</v>
      </c>
      <c r="AI937" s="12">
        <v>300</v>
      </c>
      <c r="AJ937" s="12"/>
      <c r="AK937" s="12"/>
    </row>
    <row r="938" spans="1:37">
      <c r="A938" s="10">
        <v>221</v>
      </c>
      <c r="B938" s="11">
        <v>530</v>
      </c>
      <c r="C938" s="10" t="s">
        <v>967</v>
      </c>
      <c r="D938" s="10" t="s">
        <v>23</v>
      </c>
      <c r="E938" s="10"/>
      <c r="F938" s="10" t="s">
        <v>955</v>
      </c>
      <c r="G938" s="10" t="s">
        <v>902</v>
      </c>
      <c r="H938" s="9"/>
      <c r="I938" s="12"/>
      <c r="J938" s="12">
        <v>150</v>
      </c>
      <c r="K938" s="12">
        <v>0</v>
      </c>
      <c r="L938" s="12">
        <v>17716</v>
      </c>
      <c r="M938" s="11">
        <f>L938*4+AI938-AJ938</f>
        <v>70864</v>
      </c>
      <c r="N938" s="13">
        <v>3543</v>
      </c>
      <c r="O938" s="12"/>
      <c r="P938" s="12"/>
      <c r="Q938" s="12"/>
      <c r="R938" s="12"/>
      <c r="S938" s="12">
        <v>67471</v>
      </c>
      <c r="T938" s="12"/>
      <c r="U938" s="12"/>
      <c r="V938" s="12"/>
      <c r="W938" s="12"/>
      <c r="X938" s="12"/>
      <c r="Y938" s="12"/>
      <c r="Z938" s="12"/>
      <c r="AA938" s="12"/>
      <c r="AB938" s="12"/>
      <c r="AC938" s="12"/>
      <c r="AD938" s="12"/>
      <c r="AE938" s="12"/>
      <c r="AF938" s="13">
        <f>H938+I938+J938+K938+M938-N938</f>
        <v>67471</v>
      </c>
      <c r="AG938" s="13">
        <f>SUM(O938:AE938)</f>
        <v>67471</v>
      </c>
      <c r="AH938" s="13">
        <f>AF938-AG938</f>
        <v>0</v>
      </c>
      <c r="AI938" s="12"/>
      <c r="AJ938" s="12"/>
      <c r="AK938" s="12"/>
    </row>
    <row r="939" spans="1:37">
      <c r="A939" s="10">
        <v>222</v>
      </c>
      <c r="B939" s="11">
        <v>523</v>
      </c>
      <c r="C939" s="10" t="s">
        <v>968</v>
      </c>
      <c r="D939" s="10" t="s">
        <v>23</v>
      </c>
      <c r="E939" s="10"/>
      <c r="F939" s="10" t="s">
        <v>955</v>
      </c>
      <c r="G939" s="10" t="s">
        <v>902</v>
      </c>
      <c r="H939" s="9"/>
      <c r="I939" s="12"/>
      <c r="J939" s="12">
        <v>150</v>
      </c>
      <c r="K939" s="12">
        <v>0</v>
      </c>
      <c r="L939" s="12">
        <v>17716</v>
      </c>
      <c r="M939" s="11">
        <f>L939*4+AI939-AJ939</f>
        <v>70864</v>
      </c>
      <c r="N939" s="13">
        <v>3543</v>
      </c>
      <c r="O939" s="12"/>
      <c r="P939" s="12"/>
      <c r="Q939" s="12"/>
      <c r="R939" s="12"/>
      <c r="S939" s="12">
        <v>67471</v>
      </c>
      <c r="T939" s="12"/>
      <c r="U939" s="12"/>
      <c r="V939" s="12"/>
      <c r="W939" s="12"/>
      <c r="X939" s="12"/>
      <c r="Y939" s="12"/>
      <c r="Z939" s="12"/>
      <c r="AA939" s="12"/>
      <c r="AB939" s="12"/>
      <c r="AC939" s="12"/>
      <c r="AD939" s="12"/>
      <c r="AE939" s="12"/>
      <c r="AF939" s="13">
        <f>H939+I939+J939+K939+M939-N939</f>
        <v>67471</v>
      </c>
      <c r="AG939" s="13">
        <f>SUM(O939:AE939)</f>
        <v>67471</v>
      </c>
      <c r="AH939" s="13">
        <f>AF939-AG939</f>
        <v>0</v>
      </c>
      <c r="AI939" s="12"/>
      <c r="AJ939" s="12"/>
      <c r="AK939" s="12"/>
    </row>
    <row r="940" spans="1:37">
      <c r="A940" s="10">
        <v>223</v>
      </c>
      <c r="B940" s="43">
        <v>532</v>
      </c>
      <c r="C940" s="44" t="s">
        <v>969</v>
      </c>
      <c r="D940" s="44" t="s">
        <v>28</v>
      </c>
      <c r="E940" s="44"/>
      <c r="F940" s="10" t="s">
        <v>955</v>
      </c>
      <c r="G940" s="10" t="s">
        <v>956</v>
      </c>
      <c r="H940" s="9"/>
      <c r="I940" s="12"/>
      <c r="J940" s="12">
        <v>150</v>
      </c>
      <c r="K940" s="12">
        <v>0</v>
      </c>
      <c r="L940" s="12">
        <v>17716</v>
      </c>
      <c r="M940" s="11">
        <f>L940*4+AI940-AJ940</f>
        <v>70864</v>
      </c>
      <c r="N940" s="13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  <c r="AA940" s="12"/>
      <c r="AB940" s="12"/>
      <c r="AC940" s="12"/>
      <c r="AD940" s="12"/>
      <c r="AE940" s="12"/>
      <c r="AF940" s="13">
        <f>H940+I940+J940+K940+M940-N940</f>
        <v>71014</v>
      </c>
      <c r="AG940" s="13">
        <f>SUM(O940:AE940)</f>
        <v>0</v>
      </c>
      <c r="AH940" s="13">
        <f>AF940-AG940</f>
        <v>71014</v>
      </c>
      <c r="AI940" s="12"/>
      <c r="AJ940" s="12"/>
      <c r="AK940" s="12"/>
    </row>
    <row r="941" spans="1:37">
      <c r="A941" s="10">
        <v>224</v>
      </c>
      <c r="B941" s="16">
        <v>2082</v>
      </c>
      <c r="C941" s="16" t="s">
        <v>970</v>
      </c>
      <c r="D941" s="16" t="s">
        <v>28</v>
      </c>
      <c r="E941" s="16"/>
      <c r="F941" s="10" t="s">
        <v>955</v>
      </c>
      <c r="G941" s="10" t="s">
        <v>902</v>
      </c>
      <c r="H941" s="9"/>
      <c r="I941" s="12"/>
      <c r="J941" s="12">
        <v>150</v>
      </c>
      <c r="K941" s="12">
        <v>0</v>
      </c>
      <c r="L941" s="12">
        <v>17716</v>
      </c>
      <c r="M941" s="11">
        <f>L941*4+AI941-AJ941</f>
        <v>70864</v>
      </c>
      <c r="N941" s="13"/>
      <c r="O941" s="9"/>
      <c r="P941" s="12"/>
      <c r="Q941" s="12"/>
      <c r="R941" s="12"/>
      <c r="S941" s="12">
        <v>17866</v>
      </c>
      <c r="T941" s="12"/>
      <c r="U941" s="12"/>
      <c r="V941" s="12"/>
      <c r="W941" s="12"/>
      <c r="X941" s="12"/>
      <c r="Y941" s="12"/>
      <c r="Z941" s="12"/>
      <c r="AA941" s="12"/>
      <c r="AB941" s="12"/>
      <c r="AC941" s="12"/>
      <c r="AD941" s="12"/>
      <c r="AE941" s="12"/>
      <c r="AF941" s="13">
        <f>H941+I941+J941+K941+M941-N941</f>
        <v>71014</v>
      </c>
      <c r="AG941" s="13">
        <f>SUM(O941:AE941)</f>
        <v>17866</v>
      </c>
      <c r="AH941" s="13">
        <f>AF941-AG941</f>
        <v>53148</v>
      </c>
      <c r="AI941" s="12"/>
      <c r="AJ941" s="12"/>
      <c r="AK941" s="12"/>
    </row>
    <row r="942" spans="1:37">
      <c r="A942" s="10">
        <v>225</v>
      </c>
      <c r="B942" s="43">
        <v>1726</v>
      </c>
      <c r="C942" s="44" t="s">
        <v>971</v>
      </c>
      <c r="D942" s="44" t="s">
        <v>23</v>
      </c>
      <c r="E942" s="44"/>
      <c r="F942" s="10" t="s">
        <v>955</v>
      </c>
      <c r="G942" s="10" t="s">
        <v>902</v>
      </c>
      <c r="H942" s="9"/>
      <c r="I942" s="12"/>
      <c r="J942" s="12">
        <v>150</v>
      </c>
      <c r="K942" s="12">
        <v>0</v>
      </c>
      <c r="L942" s="12">
        <v>17716</v>
      </c>
      <c r="M942" s="11">
        <f>L942*4+AI942-AJ942</f>
        <v>70864</v>
      </c>
      <c r="N942" s="13"/>
      <c r="O942" s="12"/>
      <c r="P942" s="12"/>
      <c r="Q942" s="12"/>
      <c r="R942" s="12"/>
      <c r="S942" s="12"/>
      <c r="T942" s="12"/>
      <c r="U942" s="12">
        <v>17866</v>
      </c>
      <c r="V942" s="12"/>
      <c r="W942" s="12"/>
      <c r="X942" s="12"/>
      <c r="Y942" s="12"/>
      <c r="Z942" s="12"/>
      <c r="AA942" s="12"/>
      <c r="AB942" s="12"/>
      <c r="AC942" s="12"/>
      <c r="AD942" s="12"/>
      <c r="AE942" s="12"/>
      <c r="AF942" s="13">
        <f>H942+I942+J942+K942+M942-N942</f>
        <v>71014</v>
      </c>
      <c r="AG942" s="13">
        <f>SUM(O942:AE942)</f>
        <v>17866</v>
      </c>
      <c r="AH942" s="13">
        <f>AF942-AG942</f>
        <v>53148</v>
      </c>
      <c r="AI942" s="12"/>
      <c r="AJ942" s="12"/>
      <c r="AK942" s="12"/>
    </row>
    <row r="943" spans="1:37">
      <c r="A943" s="10">
        <v>226</v>
      </c>
      <c r="B943" s="11">
        <v>1610</v>
      </c>
      <c r="C943" s="43" t="s">
        <v>972</v>
      </c>
      <c r="D943" s="43" t="s">
        <v>23</v>
      </c>
      <c r="E943" s="43"/>
      <c r="F943" s="10" t="s">
        <v>955</v>
      </c>
      <c r="G943" s="10" t="s">
        <v>943</v>
      </c>
      <c r="H943" s="9"/>
      <c r="I943" s="12"/>
      <c r="J943" s="12">
        <v>150</v>
      </c>
      <c r="K943" s="12">
        <v>0</v>
      </c>
      <c r="L943" s="12">
        <v>17716</v>
      </c>
      <c r="M943" s="11">
        <f>L943*4+AI943-AJ943</f>
        <v>70864</v>
      </c>
      <c r="N943" s="13"/>
      <c r="O943" s="12"/>
      <c r="P943" s="12"/>
      <c r="Q943" s="12"/>
      <c r="R943" s="12"/>
      <c r="S943" s="12"/>
      <c r="T943" s="12"/>
      <c r="U943" s="12"/>
      <c r="V943" s="12">
        <v>17866</v>
      </c>
      <c r="W943" s="12"/>
      <c r="X943" s="12"/>
      <c r="Y943" s="12"/>
      <c r="Z943" s="12"/>
      <c r="AA943" s="12"/>
      <c r="AB943" s="12"/>
      <c r="AC943" s="12"/>
      <c r="AD943" s="12"/>
      <c r="AE943" s="12"/>
      <c r="AF943" s="13">
        <f>H943+I943+J943+K943+M943-N943</f>
        <v>71014</v>
      </c>
      <c r="AG943" s="13">
        <f>SUM(O943:AE943)</f>
        <v>17866</v>
      </c>
      <c r="AH943" s="13">
        <f>AF943-AG943</f>
        <v>53148</v>
      </c>
      <c r="AI943" s="12"/>
      <c r="AJ943" s="12"/>
      <c r="AK943" s="12"/>
    </row>
    <row r="944" spans="1:37">
      <c r="A944" s="10">
        <v>227</v>
      </c>
      <c r="B944" s="11">
        <v>505</v>
      </c>
      <c r="C944" s="10" t="s">
        <v>973</v>
      </c>
      <c r="D944" s="10" t="s">
        <v>23</v>
      </c>
      <c r="E944" s="10"/>
      <c r="F944" s="10" t="s">
        <v>955</v>
      </c>
      <c r="G944" s="10" t="s">
        <v>943</v>
      </c>
      <c r="H944" s="9"/>
      <c r="I944" s="12"/>
      <c r="J944" s="12">
        <v>150</v>
      </c>
      <c r="K944" s="12">
        <v>0</v>
      </c>
      <c r="L944" s="12">
        <v>17716</v>
      </c>
      <c r="M944" s="11">
        <f>L944*4+AI944-AJ944</f>
        <v>70864</v>
      </c>
      <c r="N944" s="13"/>
      <c r="O944" s="12"/>
      <c r="P944" s="12"/>
      <c r="Q944" s="12"/>
      <c r="R944" s="12"/>
      <c r="S944" s="12">
        <v>17866</v>
      </c>
      <c r="T944" s="12"/>
      <c r="U944" s="12"/>
      <c r="V944" s="12"/>
      <c r="W944" s="12"/>
      <c r="X944" s="12"/>
      <c r="Y944" s="12"/>
      <c r="Z944" s="12"/>
      <c r="AA944" s="12"/>
      <c r="AB944" s="12"/>
      <c r="AC944" s="12"/>
      <c r="AD944" s="12"/>
      <c r="AE944" s="12"/>
      <c r="AF944" s="13">
        <f>H944+I944+J944+K944+M944-N944</f>
        <v>71014</v>
      </c>
      <c r="AG944" s="13">
        <f>SUM(O944:AE944)</f>
        <v>17866</v>
      </c>
      <c r="AH944" s="13">
        <f>AF944-AG944</f>
        <v>53148</v>
      </c>
      <c r="AI944" s="12"/>
      <c r="AJ944" s="12"/>
      <c r="AK944" s="12"/>
    </row>
    <row r="945" spans="1:37">
      <c r="A945" s="10">
        <v>228</v>
      </c>
      <c r="B945" s="43">
        <v>1633</v>
      </c>
      <c r="C945" s="44" t="s">
        <v>974</v>
      </c>
      <c r="D945" s="43" t="s">
        <v>28</v>
      </c>
      <c r="E945" s="44"/>
      <c r="F945" s="10" t="s">
        <v>955</v>
      </c>
      <c r="G945" s="10" t="s">
        <v>943</v>
      </c>
      <c r="H945" s="9"/>
      <c r="I945" s="12"/>
      <c r="J945" s="12">
        <v>150</v>
      </c>
      <c r="K945" s="12">
        <v>0</v>
      </c>
      <c r="L945" s="12">
        <v>17716</v>
      </c>
      <c r="M945" s="11">
        <f>L945*4+AI945-AJ945</f>
        <v>70864</v>
      </c>
      <c r="N945" s="13"/>
      <c r="O945" s="12"/>
      <c r="P945" s="12"/>
      <c r="Q945" s="12"/>
      <c r="R945" s="12"/>
      <c r="S945" s="12"/>
      <c r="T945" s="12"/>
      <c r="U945" s="12">
        <v>17866</v>
      </c>
      <c r="V945" s="12"/>
      <c r="W945" s="12"/>
      <c r="X945" s="12"/>
      <c r="Y945" s="12"/>
      <c r="Z945" s="12"/>
      <c r="AA945" s="12"/>
      <c r="AB945" s="12"/>
      <c r="AC945" s="12"/>
      <c r="AD945" s="12"/>
      <c r="AE945" s="12"/>
      <c r="AF945" s="13">
        <f>H945+I945+J945+K945+M945-N945</f>
        <v>71014</v>
      </c>
      <c r="AG945" s="13">
        <f>SUM(O945:AE945)</f>
        <v>17866</v>
      </c>
      <c r="AH945" s="13">
        <f>AF945-AG945</f>
        <v>53148</v>
      </c>
      <c r="AI945" s="12"/>
      <c r="AJ945" s="12"/>
      <c r="AK945" s="12"/>
    </row>
    <row r="946" spans="1:37">
      <c r="A946" s="10">
        <v>229</v>
      </c>
      <c r="B946" s="43">
        <v>546</v>
      </c>
      <c r="C946" s="44" t="s">
        <v>975</v>
      </c>
      <c r="D946" s="44" t="s">
        <v>28</v>
      </c>
      <c r="E946" s="44"/>
      <c r="F946" s="10" t="s">
        <v>955</v>
      </c>
      <c r="G946" s="10" t="s">
        <v>943</v>
      </c>
      <c r="H946" s="9"/>
      <c r="I946" s="12"/>
      <c r="J946" s="12">
        <v>150</v>
      </c>
      <c r="K946" s="12">
        <v>0</v>
      </c>
      <c r="L946" s="12">
        <v>17716</v>
      </c>
      <c r="M946" s="11">
        <f>L946*4+AI946-AJ946</f>
        <v>70864</v>
      </c>
      <c r="N946" s="13"/>
      <c r="O946" s="12"/>
      <c r="P946" s="12"/>
      <c r="Q946" s="12"/>
      <c r="R946" s="12"/>
      <c r="S946" s="12">
        <v>17866</v>
      </c>
      <c r="T946" s="12"/>
      <c r="U946" s="12"/>
      <c r="V946" s="12"/>
      <c r="W946" s="12"/>
      <c r="X946" s="12"/>
      <c r="Y946" s="12"/>
      <c r="Z946" s="12"/>
      <c r="AA946" s="12"/>
      <c r="AB946" s="12"/>
      <c r="AC946" s="12"/>
      <c r="AD946" s="12"/>
      <c r="AE946" s="12"/>
      <c r="AF946" s="13">
        <f>H946+I946+J946+K946+M946-N946</f>
        <v>71014</v>
      </c>
      <c r="AG946" s="13">
        <f>SUM(O946:AE946)</f>
        <v>17866</v>
      </c>
      <c r="AH946" s="13">
        <f>AF946-AG946</f>
        <v>53148</v>
      </c>
      <c r="AI946" s="12"/>
      <c r="AJ946" s="12"/>
      <c r="AK946" s="12"/>
    </row>
    <row r="947" spans="1:37">
      <c r="A947" s="10">
        <v>230</v>
      </c>
      <c r="B947" s="11">
        <v>514</v>
      </c>
      <c r="C947" s="10" t="s">
        <v>976</v>
      </c>
      <c r="D947" s="10" t="s">
        <v>28</v>
      </c>
      <c r="E947" s="10"/>
      <c r="F947" s="10" t="s">
        <v>955</v>
      </c>
      <c r="G947" s="10" t="s">
        <v>943</v>
      </c>
      <c r="H947" s="9"/>
      <c r="I947" s="12"/>
      <c r="J947" s="12">
        <v>150</v>
      </c>
      <c r="K947" s="12">
        <v>0</v>
      </c>
      <c r="L947" s="12">
        <v>17716</v>
      </c>
      <c r="M947" s="11">
        <f>L947*4+AI947-AJ947</f>
        <v>70864</v>
      </c>
      <c r="N947" s="13"/>
      <c r="O947" s="12"/>
      <c r="P947" s="12"/>
      <c r="Q947" s="12"/>
      <c r="R947" s="12"/>
      <c r="S947" s="12"/>
      <c r="T947" s="12"/>
      <c r="U947" s="12">
        <v>17866</v>
      </c>
      <c r="V947" s="12"/>
      <c r="W947" s="12"/>
      <c r="X947" s="12"/>
      <c r="Y947" s="12"/>
      <c r="Z947" s="12"/>
      <c r="AA947" s="12"/>
      <c r="AB947" s="12"/>
      <c r="AC947" s="12"/>
      <c r="AD947" s="12"/>
      <c r="AE947" s="12"/>
      <c r="AF947" s="13">
        <f>H947+I947+J947+K947+M947-N947</f>
        <v>71014</v>
      </c>
      <c r="AG947" s="13">
        <f>SUM(O947:AE947)</f>
        <v>17866</v>
      </c>
      <c r="AH947" s="13">
        <f>AF947-AG947</f>
        <v>53148</v>
      </c>
      <c r="AI947" s="12"/>
      <c r="AJ947" s="12"/>
      <c r="AK947" s="12"/>
    </row>
    <row r="948" spans="1:37">
      <c r="A948" s="10">
        <v>231</v>
      </c>
      <c r="B948" s="43">
        <v>1624</v>
      </c>
      <c r="C948" s="43" t="s">
        <v>977</v>
      </c>
      <c r="D948" s="43" t="s">
        <v>28</v>
      </c>
      <c r="E948" s="44"/>
      <c r="F948" s="10" t="s">
        <v>955</v>
      </c>
      <c r="G948" s="10" t="s">
        <v>943</v>
      </c>
      <c r="H948" s="9"/>
      <c r="I948" s="12"/>
      <c r="J948" s="12">
        <v>150</v>
      </c>
      <c r="K948" s="12">
        <v>0</v>
      </c>
      <c r="L948" s="12">
        <v>17716</v>
      </c>
      <c r="M948" s="11">
        <f>L948*4+AI948-AJ948</f>
        <v>70864</v>
      </c>
      <c r="N948" s="13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  <c r="AA948" s="12"/>
      <c r="AB948" s="12"/>
      <c r="AC948" s="12"/>
      <c r="AD948" s="12"/>
      <c r="AE948" s="12"/>
      <c r="AF948" s="13">
        <f>H948+I948+J948+K948+M948-N948</f>
        <v>71014</v>
      </c>
      <c r="AG948" s="13">
        <f>SUM(O948:AE948)</f>
        <v>0</v>
      </c>
      <c r="AH948" s="13">
        <f>AF948-AG948</f>
        <v>71014</v>
      </c>
      <c r="AI948" s="12"/>
      <c r="AJ948" s="12"/>
      <c r="AK948" s="12"/>
    </row>
    <row r="949" spans="1:37">
      <c r="A949" s="10">
        <v>232</v>
      </c>
      <c r="B949" s="16">
        <v>2076</v>
      </c>
      <c r="C949" s="16" t="s">
        <v>978</v>
      </c>
      <c r="D949" s="16" t="s">
        <v>28</v>
      </c>
      <c r="E949" s="16"/>
      <c r="F949" s="10" t="s">
        <v>955</v>
      </c>
      <c r="G949" s="10" t="s">
        <v>943</v>
      </c>
      <c r="H949" s="9"/>
      <c r="I949" s="12"/>
      <c r="J949" s="12">
        <v>150</v>
      </c>
      <c r="K949" s="12">
        <v>0</v>
      </c>
      <c r="L949" s="12">
        <v>17716</v>
      </c>
      <c r="M949" s="11">
        <f>L949*4+AI949-AJ949</f>
        <v>70864</v>
      </c>
      <c r="N949" s="13"/>
      <c r="O949" s="12"/>
      <c r="P949" s="12"/>
      <c r="Q949" s="12"/>
      <c r="R949" s="12"/>
      <c r="S949" s="12">
        <v>17866</v>
      </c>
      <c r="T949" s="12"/>
      <c r="U949" s="12"/>
      <c r="V949" s="12"/>
      <c r="W949" s="12"/>
      <c r="X949" s="12"/>
      <c r="Y949" s="12"/>
      <c r="Z949" s="12"/>
      <c r="AA949" s="12"/>
      <c r="AB949" s="12"/>
      <c r="AC949" s="12"/>
      <c r="AD949" s="12"/>
      <c r="AE949" s="12"/>
      <c r="AF949" s="13">
        <f>H949+I949+J949+K949+M949-N949</f>
        <v>71014</v>
      </c>
      <c r="AG949" s="13">
        <f>SUM(O949:AE949)</f>
        <v>17866</v>
      </c>
      <c r="AH949" s="13">
        <f>AF949-AG949</f>
        <v>53148</v>
      </c>
      <c r="AI949" s="12"/>
      <c r="AJ949" s="12"/>
      <c r="AK949" s="12"/>
    </row>
    <row r="950" spans="1:37">
      <c r="A950" s="10">
        <v>233</v>
      </c>
      <c r="B950" s="27">
        <v>537</v>
      </c>
      <c r="C950" s="26" t="s">
        <v>979</v>
      </c>
      <c r="D950" s="26" t="s">
        <v>23</v>
      </c>
      <c r="E950" s="26"/>
      <c r="F950" s="26" t="s">
        <v>955</v>
      </c>
      <c r="G950" s="26" t="s">
        <v>943</v>
      </c>
      <c r="H950" s="9"/>
      <c r="I950" s="12"/>
      <c r="J950" s="12">
        <v>150</v>
      </c>
      <c r="K950" s="12">
        <v>0</v>
      </c>
      <c r="L950" s="12">
        <v>8858</v>
      </c>
      <c r="M950" s="11">
        <f>L950*4+AI950-AJ950</f>
        <v>35432</v>
      </c>
      <c r="N950" s="13">
        <v>1771</v>
      </c>
      <c r="O950" s="12"/>
      <c r="P950" s="12"/>
      <c r="Q950" s="12"/>
      <c r="R950" s="12"/>
      <c r="S950" s="12">
        <v>33810</v>
      </c>
      <c r="T950" s="12"/>
      <c r="U950" s="12"/>
      <c r="V950" s="12"/>
      <c r="W950" s="12"/>
      <c r="X950" s="12"/>
      <c r="Y950" s="12"/>
      <c r="Z950" s="12"/>
      <c r="AA950" s="12"/>
      <c r="AB950" s="12"/>
      <c r="AC950" s="12"/>
      <c r="AD950" s="12"/>
      <c r="AE950" s="12"/>
      <c r="AF950" s="13">
        <f>H950+I950+J950+K950+M950-N950</f>
        <v>33811</v>
      </c>
      <c r="AG950" s="13">
        <f>SUM(O950:AE950)</f>
        <v>33810</v>
      </c>
      <c r="AH950" s="13">
        <f>AF950-AG950</f>
        <v>1</v>
      </c>
      <c r="AI950" s="12"/>
      <c r="AJ950" s="12"/>
      <c r="AK950" s="12"/>
    </row>
    <row r="951" spans="1:37">
      <c r="A951" s="10">
        <v>234</v>
      </c>
      <c r="B951" s="11">
        <v>1626</v>
      </c>
      <c r="C951" s="44" t="s">
        <v>980</v>
      </c>
      <c r="D951" s="43" t="s">
        <v>23</v>
      </c>
      <c r="E951" s="44"/>
      <c r="F951" s="10" t="s">
        <v>955</v>
      </c>
      <c r="G951" s="10" t="s">
        <v>943</v>
      </c>
      <c r="H951" s="9"/>
      <c r="I951" s="12"/>
      <c r="J951" s="12">
        <v>150</v>
      </c>
      <c r="K951" s="12">
        <v>0</v>
      </c>
      <c r="L951" s="12">
        <v>17716</v>
      </c>
      <c r="M951" s="11">
        <f>L951*4+AI951-AJ951</f>
        <v>70864</v>
      </c>
      <c r="N951" s="13"/>
      <c r="O951" s="12"/>
      <c r="P951" s="12"/>
      <c r="Q951" s="12"/>
      <c r="R951" s="12"/>
      <c r="S951" s="12"/>
      <c r="T951" s="12"/>
      <c r="U951" s="12">
        <v>18000</v>
      </c>
      <c r="V951" s="12"/>
      <c r="W951" s="12"/>
      <c r="X951" s="12"/>
      <c r="Y951" s="12"/>
      <c r="Z951" s="12"/>
      <c r="AA951" s="12"/>
      <c r="AB951" s="12"/>
      <c r="AC951" s="12"/>
      <c r="AD951" s="12"/>
      <c r="AE951" s="12"/>
      <c r="AF951" s="13">
        <f>H951+I951+J951+K951+M951-N951</f>
        <v>71014</v>
      </c>
      <c r="AG951" s="13">
        <f>SUM(O951:AE951)</f>
        <v>18000</v>
      </c>
      <c r="AH951" s="13">
        <f>AF951-AG951</f>
        <v>53014</v>
      </c>
      <c r="AI951" s="12"/>
      <c r="AJ951" s="12"/>
      <c r="AK951" s="12"/>
    </row>
    <row r="952" spans="1:37">
      <c r="A952" s="10">
        <v>235</v>
      </c>
      <c r="B952" s="43">
        <v>721</v>
      </c>
      <c r="C952" s="44" t="s">
        <v>981</v>
      </c>
      <c r="D952" s="44" t="s">
        <v>23</v>
      </c>
      <c r="E952" s="44"/>
      <c r="F952" s="10" t="s">
        <v>955</v>
      </c>
      <c r="G952" s="10" t="s">
        <v>943</v>
      </c>
      <c r="H952" s="9"/>
      <c r="I952" s="12"/>
      <c r="J952" s="12">
        <v>150</v>
      </c>
      <c r="K952" s="12">
        <v>0</v>
      </c>
      <c r="L952" s="12">
        <v>17716</v>
      </c>
      <c r="M952" s="11">
        <f>L952*4+AI952-AJ952</f>
        <v>70864</v>
      </c>
      <c r="N952" s="13">
        <v>3543</v>
      </c>
      <c r="O952" s="12"/>
      <c r="P952" s="12"/>
      <c r="Q952" s="12"/>
      <c r="R952" s="12"/>
      <c r="S952" s="12">
        <v>67471</v>
      </c>
      <c r="T952" s="12"/>
      <c r="U952" s="12"/>
      <c r="V952" s="12"/>
      <c r="W952" s="12"/>
      <c r="X952" s="12"/>
      <c r="Y952" s="12"/>
      <c r="Z952" s="12"/>
      <c r="AA952" s="12"/>
      <c r="AB952" s="12"/>
      <c r="AC952" s="12"/>
      <c r="AD952" s="12"/>
      <c r="AE952" s="12"/>
      <c r="AF952" s="13">
        <f>H952+I952+J952+K952+M952-N952</f>
        <v>67471</v>
      </c>
      <c r="AG952" s="13">
        <f>SUM(O952:AE952)</f>
        <v>67471</v>
      </c>
      <c r="AH952" s="13">
        <f>AF952-AG952</f>
        <v>0</v>
      </c>
      <c r="AI952" s="12"/>
      <c r="AJ952" s="12"/>
      <c r="AK952" s="12"/>
    </row>
    <row r="953" spans="1:37">
      <c r="A953" s="10">
        <v>236</v>
      </c>
      <c r="B953" s="11">
        <v>1535</v>
      </c>
      <c r="C953" s="44" t="s">
        <v>982</v>
      </c>
      <c r="D953" s="43" t="s">
        <v>23</v>
      </c>
      <c r="E953" s="44"/>
      <c r="F953" s="10" t="s">
        <v>955</v>
      </c>
      <c r="G953" s="16" t="s">
        <v>983</v>
      </c>
      <c r="H953" s="9"/>
      <c r="I953" s="12"/>
      <c r="J953" s="12">
        <v>150</v>
      </c>
      <c r="K953" s="12">
        <v>0</v>
      </c>
      <c r="L953" s="12">
        <v>17716</v>
      </c>
      <c r="M953" s="11">
        <f>L953*4+AI953-AJ953</f>
        <v>70864</v>
      </c>
      <c r="N953" s="13"/>
      <c r="O953" s="12"/>
      <c r="P953" s="12"/>
      <c r="Q953" s="12"/>
      <c r="R953" s="12"/>
      <c r="S953" s="12"/>
      <c r="T953" s="12"/>
      <c r="U953" s="12"/>
      <c r="V953" s="12">
        <v>17866</v>
      </c>
      <c r="W953" s="12"/>
      <c r="X953" s="12"/>
      <c r="Y953" s="12"/>
      <c r="Z953" s="12"/>
      <c r="AA953" s="12"/>
      <c r="AB953" s="12"/>
      <c r="AC953" s="12"/>
      <c r="AD953" s="12"/>
      <c r="AE953" s="12"/>
      <c r="AF953" s="13">
        <f>H953+I953+J953+K953+M953-N953</f>
        <v>71014</v>
      </c>
      <c r="AG953" s="13">
        <f>SUM(O953:AE953)</f>
        <v>17866</v>
      </c>
      <c r="AH953" s="13">
        <f>AF953-AG953</f>
        <v>53148</v>
      </c>
      <c r="AI953" s="12"/>
      <c r="AJ953" s="12"/>
      <c r="AK953" s="12"/>
    </row>
    <row r="954" spans="1:37">
      <c r="A954" s="10">
        <v>237</v>
      </c>
      <c r="B954" s="11">
        <v>528</v>
      </c>
      <c r="C954" s="10" t="s">
        <v>984</v>
      </c>
      <c r="D954" s="10" t="s">
        <v>28</v>
      </c>
      <c r="E954" s="10"/>
      <c r="F954" s="10" t="s">
        <v>955</v>
      </c>
      <c r="G954" s="16" t="s">
        <v>983</v>
      </c>
      <c r="H954" s="9"/>
      <c r="I954" s="12"/>
      <c r="J954" s="12">
        <v>150</v>
      </c>
      <c r="K954" s="12">
        <v>0</v>
      </c>
      <c r="L954" s="12">
        <v>17716</v>
      </c>
      <c r="M954" s="11">
        <f>L954*4+AI954-AJ954</f>
        <v>70864</v>
      </c>
      <c r="N954" s="13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  <c r="AA954" s="12"/>
      <c r="AB954" s="12"/>
      <c r="AC954" s="12"/>
      <c r="AD954" s="12"/>
      <c r="AE954" s="12"/>
      <c r="AF954" s="13">
        <f>H954+I954+J954+K954+M954-N954</f>
        <v>71014</v>
      </c>
      <c r="AG954" s="13">
        <f>SUM(O954:AE954)</f>
        <v>0</v>
      </c>
      <c r="AH954" s="13">
        <f>AF954-AG954</f>
        <v>71014</v>
      </c>
      <c r="AI954" s="12"/>
      <c r="AJ954" s="12"/>
      <c r="AK954" s="12"/>
    </row>
    <row r="955" spans="1:37">
      <c r="A955" s="10">
        <v>238</v>
      </c>
      <c r="B955" s="10">
        <v>1758</v>
      </c>
      <c r="C955" s="10" t="s">
        <v>985</v>
      </c>
      <c r="D955" s="11" t="s">
        <v>23</v>
      </c>
      <c r="E955" s="11"/>
      <c r="F955" s="10" t="s">
        <v>955</v>
      </c>
      <c r="G955" s="16" t="s">
        <v>983</v>
      </c>
      <c r="H955" s="12"/>
      <c r="I955" s="12"/>
      <c r="J955" s="12">
        <v>150</v>
      </c>
      <c r="K955" s="12">
        <v>0</v>
      </c>
      <c r="L955" s="12">
        <v>17716</v>
      </c>
      <c r="M955" s="11">
        <f>L955*4+AI955-AJ955</f>
        <v>70314</v>
      </c>
      <c r="N955" s="13"/>
      <c r="O955" s="12"/>
      <c r="P955" s="12"/>
      <c r="Q955" s="12"/>
      <c r="R955" s="12"/>
      <c r="S955" s="12">
        <v>17866</v>
      </c>
      <c r="T955" s="12"/>
      <c r="U955" s="12"/>
      <c r="V955" s="12">
        <v>17716</v>
      </c>
      <c r="W955" s="12"/>
      <c r="X955" s="12"/>
      <c r="Y955" s="12"/>
      <c r="Z955" s="12"/>
      <c r="AA955" s="12"/>
      <c r="AB955" s="12"/>
      <c r="AC955" s="12"/>
      <c r="AD955" s="12"/>
      <c r="AE955" s="12"/>
      <c r="AF955" s="13">
        <f>H955+I955+J955+K955+M955-N955</f>
        <v>70464</v>
      </c>
      <c r="AG955" s="13">
        <f>SUM(O955:AE955)</f>
        <v>35582</v>
      </c>
      <c r="AH955" s="13">
        <f>AF955-AG955</f>
        <v>34882</v>
      </c>
      <c r="AI955" s="12"/>
      <c r="AJ955" s="12">
        <v>550</v>
      </c>
      <c r="AK955" s="12"/>
    </row>
    <row r="956" spans="1:37">
      <c r="A956" s="10">
        <v>239</v>
      </c>
      <c r="B956" s="11">
        <v>2108</v>
      </c>
      <c r="C956" s="10" t="s">
        <v>986</v>
      </c>
      <c r="D956" s="11" t="s">
        <v>23</v>
      </c>
      <c r="E956" s="10"/>
      <c r="F956" s="10" t="s">
        <v>955</v>
      </c>
      <c r="G956" s="16" t="s">
        <v>983</v>
      </c>
      <c r="H956" s="9"/>
      <c r="I956" s="12"/>
      <c r="J956" s="12">
        <v>150</v>
      </c>
      <c r="K956" s="12">
        <v>0</v>
      </c>
      <c r="L956" s="12">
        <v>17716</v>
      </c>
      <c r="M956" s="11">
        <f>L956*4+AI956-AJ956</f>
        <v>70864</v>
      </c>
      <c r="N956" s="13"/>
      <c r="O956" s="12"/>
      <c r="P956" s="12"/>
      <c r="Q956" s="12"/>
      <c r="R956" s="12"/>
      <c r="S956" s="12">
        <v>17866</v>
      </c>
      <c r="T956" s="12"/>
      <c r="U956" s="12"/>
      <c r="V956" s="12"/>
      <c r="W956" s="12"/>
      <c r="X956" s="12"/>
      <c r="Y956" s="12"/>
      <c r="Z956" s="12"/>
      <c r="AA956" s="12"/>
      <c r="AB956" s="12"/>
      <c r="AC956" s="12"/>
      <c r="AD956" s="12"/>
      <c r="AE956" s="12"/>
      <c r="AF956" s="13">
        <f>H956+I956+J956+K956+M956-N956</f>
        <v>71014</v>
      </c>
      <c r="AG956" s="13">
        <f>SUM(O956:AE956)</f>
        <v>17866</v>
      </c>
      <c r="AH956" s="13">
        <f>AF956-AG956</f>
        <v>53148</v>
      </c>
      <c r="AI956" s="12"/>
      <c r="AJ956" s="12"/>
      <c r="AK956" s="12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Kumar</dc:creator>
  <cp:lastModifiedBy>Deepak Kumar</cp:lastModifiedBy>
  <dcterms:created xsi:type="dcterms:W3CDTF">2026-07-18T04:42:11+00:00</dcterms:created>
  <dcterms:modified xsi:type="dcterms:W3CDTF">2026-07-18T12:18:59+00:00</dcterms:modified>
  <dc:title/>
  <dc:description/>
  <dc:subject/>
  <cp:keywords/>
  <cp:category/>
</cp:coreProperties>
</file>