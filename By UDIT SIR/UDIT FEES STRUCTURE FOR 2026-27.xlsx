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ushp\OneDrive\Desktop\UDIT\2026-27\Admission Process\"/>
    </mc:Choice>
  </mc:AlternateContent>
  <xr:revisionPtr revIDLastSave="0" documentId="13_ncr:1_{58195208-8627-4518-BF53-A21D3593A5DD}" xr6:coauthVersionLast="47" xr6:coauthVersionMax="47" xr10:uidLastSave="{00000000-0000-0000-0000-000000000000}"/>
  <bookViews>
    <workbookView xWindow="-120" yWindow="-120" windowWidth="24240" windowHeight="13020" tabRatio="953" activeTab="1" xr2:uid="{00000000-000D-0000-FFFF-FFFF00000000}"/>
  </bookViews>
  <sheets>
    <sheet name="PROPOSED FEES STRUCTURE 25-26" sheetId="16" r:id="rId1"/>
    <sheet name="FEE STRUCTURE 2026-27" sheetId="17" r:id="rId2"/>
    <sheet name="Sheet1" sheetId="18" r:id="rId3"/>
    <sheet name="FULL YEAR FEES" sheetId="1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7" l="1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7" i="17"/>
  <c r="H9" i="17"/>
  <c r="H7" i="17"/>
  <c r="H11" i="17"/>
  <c r="H15" i="17"/>
  <c r="H18" i="17"/>
  <c r="H19" i="17"/>
  <c r="H23" i="17"/>
  <c r="E25" i="17"/>
  <c r="H25" i="17" s="1"/>
  <c r="E24" i="17"/>
  <c r="H24" i="17" s="1"/>
  <c r="E23" i="17"/>
  <c r="E22" i="17"/>
  <c r="H22" i="17" s="1"/>
  <c r="E21" i="17"/>
  <c r="H21" i="17" s="1"/>
  <c r="E20" i="17"/>
  <c r="H20" i="17" s="1"/>
  <c r="E19" i="17"/>
  <c r="E18" i="17"/>
  <c r="E17" i="17"/>
  <c r="H17" i="17" s="1"/>
  <c r="E16" i="17"/>
  <c r="H16" i="17" s="1"/>
  <c r="E15" i="17"/>
  <c r="E14" i="17"/>
  <c r="H14" i="17" s="1"/>
  <c r="E13" i="17"/>
  <c r="H13" i="17" s="1"/>
  <c r="E12" i="17"/>
  <c r="H12" i="17" s="1"/>
  <c r="E11" i="17"/>
  <c r="E10" i="17"/>
  <c r="H10" i="17" s="1"/>
  <c r="E9" i="17"/>
  <c r="E8" i="17"/>
  <c r="H8" i="17" s="1"/>
  <c r="E7" i="17"/>
  <c r="O24" i="16"/>
  <c r="S24" i="16" s="1"/>
  <c r="O23" i="16"/>
  <c r="S23" i="16" s="1"/>
  <c r="O22" i="16"/>
  <c r="S22" i="16" s="1"/>
  <c r="O21" i="16"/>
  <c r="S21" i="16" s="1"/>
  <c r="O20" i="16"/>
  <c r="S20" i="16" s="1"/>
  <c r="O19" i="16"/>
  <c r="S19" i="16" s="1"/>
  <c r="O18" i="16"/>
  <c r="S18" i="16" s="1"/>
  <c r="S17" i="16"/>
  <c r="O17" i="16"/>
  <c r="O16" i="16"/>
  <c r="S16" i="16" s="1"/>
  <c r="O15" i="16"/>
  <c r="S15" i="16" s="1"/>
  <c r="O14" i="16"/>
  <c r="S14" i="16" s="1"/>
  <c r="O13" i="16"/>
  <c r="S13" i="16" s="1"/>
  <c r="O12" i="16"/>
  <c r="S12" i="16" s="1"/>
  <c r="O11" i="16"/>
  <c r="S11" i="16" s="1"/>
  <c r="O10" i="16"/>
  <c r="S10" i="16" s="1"/>
  <c r="O9" i="16"/>
  <c r="S9" i="16" s="1"/>
  <c r="O8" i="16"/>
  <c r="S8" i="16" s="1"/>
  <c r="O7" i="16"/>
  <c r="S7" i="16" s="1"/>
  <c r="O6" i="16"/>
  <c r="S6" i="16" s="1"/>
  <c r="J22" i="16"/>
  <c r="E6" i="16"/>
  <c r="H6" i="16" s="1"/>
  <c r="E24" i="16"/>
  <c r="H24" i="16" s="1"/>
  <c r="E23" i="16"/>
  <c r="H23" i="16" s="1"/>
  <c r="E22" i="16"/>
  <c r="H22" i="16" s="1"/>
  <c r="E21" i="16"/>
  <c r="J21" i="16" s="1"/>
  <c r="E20" i="16"/>
  <c r="H20" i="16" s="1"/>
  <c r="E19" i="16"/>
  <c r="H19" i="16" s="1"/>
  <c r="E18" i="16"/>
  <c r="H18" i="16" s="1"/>
  <c r="E17" i="16"/>
  <c r="H17" i="16" s="1"/>
  <c r="E16" i="16"/>
  <c r="H16" i="16" s="1"/>
  <c r="E15" i="16"/>
  <c r="H15" i="16" s="1"/>
  <c r="E14" i="16"/>
  <c r="H14" i="16" s="1"/>
  <c r="E13" i="16"/>
  <c r="H13" i="16" s="1"/>
  <c r="E12" i="16"/>
  <c r="H12" i="16" s="1"/>
  <c r="E11" i="16"/>
  <c r="H11" i="16" s="1"/>
  <c r="E10" i="16"/>
  <c r="H10" i="16" s="1"/>
  <c r="E9" i="16"/>
  <c r="H9" i="16" s="1"/>
  <c r="E8" i="16"/>
  <c r="H8" i="16" s="1"/>
  <c r="E7" i="16"/>
  <c r="H7" i="16" s="1"/>
  <c r="J19" i="16" l="1"/>
  <c r="J14" i="16"/>
  <c r="J13" i="16"/>
  <c r="J20" i="16"/>
  <c r="H21" i="16"/>
  <c r="J12" i="16"/>
  <c r="J11" i="16"/>
  <c r="J18" i="16"/>
  <c r="J10" i="16"/>
  <c r="J9" i="16"/>
  <c r="J6" i="16"/>
  <c r="J17" i="16"/>
  <c r="J24" i="16"/>
  <c r="J16" i="16"/>
  <c r="J8" i="16"/>
  <c r="J23" i="16"/>
  <c r="J15" i="16"/>
  <c r="J7" i="16"/>
</calcChain>
</file>

<file path=xl/sharedStrings.xml><?xml version="1.0" encoding="utf-8"?>
<sst xmlns="http://schemas.openxmlformats.org/spreadsheetml/2006/main" count="144" uniqueCount="67">
  <si>
    <t xml:space="preserve">             PUSHP NIKETAN SCHOOL, DSM DHAMPUR</t>
  </si>
  <si>
    <t>( AFFILIATED TO CBSE BOARD - NEW DELHI )</t>
  </si>
  <si>
    <t>S. NO.</t>
  </si>
  <si>
    <t>GRADE</t>
  </si>
  <si>
    <t>QTRLY FEES</t>
  </si>
  <si>
    <t>ANNUAL TUITION FEES</t>
  </si>
  <si>
    <t>ALMANAC</t>
  </si>
  <si>
    <t>ROBOTICS FEES</t>
  </si>
  <si>
    <t>TOTAL ANNUAL FEES</t>
  </si>
  <si>
    <t>NUR</t>
  </si>
  <si>
    <t>LKG</t>
  </si>
  <si>
    <t>UKG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</si>
  <si>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</si>
  <si>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</si>
  <si>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</si>
  <si>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</si>
  <si>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</si>
  <si>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</si>
  <si>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</si>
  <si>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</si>
  <si>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</si>
  <si>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</si>
  <si>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11TH-SCI.</t>
  </si>
  <si>
    <t>11TH-COMM.</t>
  </si>
  <si>
    <t>11TH-HUM.</t>
  </si>
  <si>
    <t>12TH-SCI.</t>
  </si>
  <si>
    <t>12TH-COMM.</t>
  </si>
  <si>
    <t>12TH-HUM.</t>
  </si>
  <si>
    <t>IMPORTANT NOTES:</t>
  </si>
  <si>
    <t>1. Almanac Fees of ₹ 150 is to be paid in 1st Quarter only.</t>
  </si>
  <si>
    <r>
      <rPr>
        <sz val="14"/>
        <color theme="1"/>
        <rFont val="Calibri"/>
        <family val="2"/>
        <scheme val="minor"/>
      </rPr>
      <t xml:space="preserve">5. If the Total fees is to be paid in Advance, a discount of 5% is to be given on </t>
    </r>
    <r>
      <rPr>
        <b/>
        <sz val="14"/>
        <color theme="1"/>
        <rFont val="Calibri"/>
        <family val="2"/>
        <scheme val="minor"/>
      </rPr>
      <t>Tution fees</t>
    </r>
    <r>
      <rPr>
        <sz val="14"/>
        <color theme="1"/>
        <rFont val="Calibri"/>
        <family val="2"/>
        <scheme val="minor"/>
      </rPr>
      <t xml:space="preserve"> only.</t>
    </r>
  </si>
  <si>
    <t>6. Fees must be deposited in advance of each quarter by 30th of the 1st month of the quarter or else the fine of ₹ 100 per month till the end of the quarter will be charged.</t>
  </si>
  <si>
    <t>7. ₹ 150/- will be charged for Identity Card.</t>
  </si>
  <si>
    <t>4. Robotic Lab fees is to be paid in every Quarter @ ₹ 550 each. (For Grade 5th to 09th and 11th-Science only)</t>
  </si>
  <si>
    <t>3. Robotic Lab fees is to be paid in every Quarter @ ₹ 300 each (For Grade 3rd and 4th).</t>
  </si>
  <si>
    <t>ROBOTICS QTRLY</t>
  </si>
  <si>
    <t>FULL YEAR5 FEES @5% DISCOUNT</t>
  </si>
  <si>
    <t xml:space="preserve"> FEES STRUCTURE FOR THE SESSION 2026-27</t>
  </si>
  <si>
    <t xml:space="preserve"> FEES STRUCTURE FOR THE SESSION 2025-26</t>
  </si>
  <si>
    <t>MATIFIC</t>
  </si>
  <si>
    <t>CBSE AFFILIATION NO. - 2131564                                            SCHOOL CODE - 81332</t>
  </si>
  <si>
    <t>CBSE AFFILIATION NO. - 2131564                                                                     SCHOOL CODE - 81332</t>
  </si>
  <si>
    <t xml:space="preserve"> FEES STRUCTURE FOR THE SESSION: 2026-27</t>
  </si>
  <si>
    <r>
      <rPr>
        <b/>
        <sz val="20"/>
        <color theme="1"/>
        <rFont val="Calibri"/>
        <family val="2"/>
        <scheme val="minor"/>
      </rPr>
      <t>1.</t>
    </r>
    <r>
      <rPr>
        <sz val="20"/>
        <color theme="1"/>
        <rFont val="Calibri"/>
        <family val="2"/>
        <scheme val="minor"/>
      </rPr>
      <t xml:space="preserve"> Almanac Fees of ₹ 150 is to be paid in 1st Quarter only.</t>
    </r>
  </si>
  <si>
    <r>
      <rPr>
        <b/>
        <sz val="20"/>
        <color theme="1"/>
        <rFont val="Calibri"/>
        <family val="2"/>
        <scheme val="minor"/>
      </rPr>
      <t>3.</t>
    </r>
    <r>
      <rPr>
        <sz val="20"/>
        <color theme="1"/>
        <rFont val="Calibri"/>
        <family val="2"/>
        <scheme val="minor"/>
      </rPr>
      <t xml:space="preserve"> Robotic Lab fees is to be paid in every Quarter @ ₹ 350 each (For Grade 3rd and 4th).</t>
    </r>
  </si>
  <si>
    <r>
      <rPr>
        <b/>
        <sz val="20"/>
        <color theme="1"/>
        <rFont val="Calibri"/>
        <family val="2"/>
        <scheme val="minor"/>
      </rPr>
      <t>4.</t>
    </r>
    <r>
      <rPr>
        <sz val="20"/>
        <color theme="1"/>
        <rFont val="Calibri"/>
        <family val="2"/>
        <scheme val="minor"/>
      </rPr>
      <t xml:space="preserve"> Robotic Lab fees is to be paid in every Quarter @ ₹ 600 each. (For Grade 5th to 09th and 11th-Science only)</t>
    </r>
  </si>
  <si>
    <r>
      <rPr>
        <b/>
        <sz val="20"/>
        <color theme="1"/>
        <rFont val="Calibri"/>
        <family val="2"/>
        <scheme val="minor"/>
      </rPr>
      <t>5.</t>
    </r>
    <r>
      <rPr>
        <sz val="20"/>
        <color theme="1"/>
        <rFont val="Calibri"/>
        <family val="2"/>
        <scheme val="minor"/>
      </rPr>
      <t xml:space="preserve"> If the Total fees is to be paid in Advance, a discount of 5% is to be given on Tution fees only.</t>
    </r>
  </si>
  <si>
    <r>
      <rPr>
        <b/>
        <sz val="20"/>
        <color theme="1"/>
        <rFont val="Calibri"/>
        <family val="2"/>
        <scheme val="minor"/>
      </rPr>
      <t>6.</t>
    </r>
    <r>
      <rPr>
        <sz val="20"/>
        <color theme="1"/>
        <rFont val="Calibri"/>
        <family val="2"/>
        <scheme val="minor"/>
      </rPr>
      <t xml:space="preserve"> Fees must be deposited in advance of each quarter by 30th of the 1st month of the quarter or else the fine of ₹ 100 per month till the end of the quarter will be charged.</t>
    </r>
  </si>
  <si>
    <r>
      <rPr>
        <b/>
        <sz val="20"/>
        <color theme="1"/>
        <rFont val="Calibri"/>
        <family val="2"/>
        <scheme val="minor"/>
      </rPr>
      <t>7.</t>
    </r>
    <r>
      <rPr>
        <sz val="20"/>
        <color theme="1"/>
        <rFont val="Calibri"/>
        <family val="2"/>
        <scheme val="minor"/>
      </rPr>
      <t xml:space="preserve"> ₹ 150/- will be charged for Identity Card.</t>
    </r>
  </si>
  <si>
    <t xml:space="preserve">  CBSE AFFILIATION NO. - 2131564                                                      SCHOOL CODE - 81332</t>
  </si>
  <si>
    <t>S.NO.</t>
  </si>
  <si>
    <t>PARTICULARS</t>
  </si>
  <si>
    <t>2026-27</t>
  </si>
  <si>
    <t>ADMISSION FEES (NUR-8TH)</t>
  </si>
  <si>
    <t>ADMISSION FEES (9TH - 12TH)</t>
  </si>
  <si>
    <t>ROBOTICS FEES (3RD &amp; 4TH)</t>
  </si>
  <si>
    <t>ROBOTICS FEES (5TH - 9TH &amp; 11TH SCIENCE)</t>
  </si>
  <si>
    <t>TUITION FEES</t>
  </si>
  <si>
    <t>REVISED FEES STRUCTURE 2026-27</t>
  </si>
  <si>
    <t>2025-26</t>
  </si>
  <si>
    <t xml:space="preserve">          PUSHP NIKETAN SCHOOL, DHAMPUR</t>
  </si>
  <si>
    <r>
      <rPr>
        <b/>
        <sz val="20"/>
        <color theme="1"/>
        <rFont val="Calibri"/>
        <family val="2"/>
        <scheme val="minor"/>
      </rPr>
      <t>2.</t>
    </r>
    <r>
      <rPr>
        <sz val="20"/>
        <color theme="1"/>
        <rFont val="Calibri"/>
        <family val="2"/>
        <scheme val="minor"/>
      </rPr>
      <t xml:space="preserve"> For New Admissions, Admission fees of ₹ 5000 (For Grade Nur to 8th) and ₹ 6000 (For Grade  9th to 12th) and Security deposit of ₹ 1200 is to be paid at the time of Admission. </t>
    </r>
  </si>
  <si>
    <t xml:space="preserve">2. For New Admissions, Admission fees of ₹ 5000 (For Grade Nur to 8th) and ₹ 6000 (For Grade  9th to 12th) and Security deposit of ₹ 1200 is to be paid at the time of Admission. </t>
  </si>
  <si>
    <t>FULL YEAR FEES</t>
  </si>
  <si>
    <t xml:space="preserve">       PUSHP NIKETAN SCHOOL, DHAMPUR</t>
  </si>
  <si>
    <t>2ND QTR</t>
  </si>
  <si>
    <t>ROBOTICS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</si>
</sst>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9" fontId="9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173990</xdr:colOff>
      <xdr:row>0</xdr:row>
      <xdr:rowOff>85726</xdr:rowOff>
    </xdr:from>
    <xdr:to>
      <xdr:col>2</xdr:col>
      <xdr:colOff>665069</xdr:colOff>
      <xdr:row>0</xdr:row>
      <xdr:rowOff>904876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065" y="85726"/>
          <a:ext cx="1092835" cy="819150"/>
        </a:xfrm>
        <a:prstGeom prst="flowChartConnector">
          <a:avLst/>
        </a:prstGeom>
      </xdr:spPr>
    </xdr:pic>
    <xdr:clientData/>
  </xdr:twoCellAnchor>
  <xdr:twoCellAnchor editAs="oneCell">
    <xdr:from>
      <xdr:col>11</xdr:col>
      <xdr:colOff>50165</xdr:colOff>
      <xdr:row>0</xdr:row>
      <xdr:rowOff>28576</xdr:rowOff>
    </xdr:from>
    <xdr:to>
      <xdr:col>12</xdr:col>
      <xdr:colOff>467845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41656-0B3B-4DEB-B2C6-92BCF984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240" y="600076"/>
          <a:ext cx="1073785" cy="800099"/>
        </a:xfrm>
        <a:prstGeom prst="flowChartConnector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69215</xdr:colOff>
      <xdr:row>1</xdr:row>
      <xdr:rowOff>76201</xdr:rowOff>
    </xdr:from>
    <xdr:ext cx="1207135" cy="923924"/>
    <xdr:pic>
      <xdr:nvPicPr>
        <xdr:cNvPr id="3" name="Picture 2">
          <a:extLst>
            <a:ext uri="{FF2B5EF4-FFF2-40B4-BE49-F238E27FC236}">
              <a16:creationId xmlns:a16="http://schemas.microsoft.com/office/drawing/2014/main" id="{FAD51B54-23FF-4EFC-9DCD-89F291C13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815" y="628651"/>
          <a:ext cx="1207135" cy="923924"/>
        </a:xfrm>
        <a:prstGeom prst="flowChartConnector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0</xdr:row>
      <xdr:rowOff>38101</xdr:rowOff>
    </xdr:from>
    <xdr:ext cx="952500" cy="771524"/>
    <xdr:pic>
      <xdr:nvPicPr>
        <xdr:cNvPr id="2" name="Picture 1">
          <a:extLst>
            <a:ext uri="{FF2B5EF4-FFF2-40B4-BE49-F238E27FC236}">
              <a16:creationId xmlns:a16="http://schemas.microsoft.com/office/drawing/2014/main" id="{2B1908C7-06CA-478E-86E4-C07B8164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38101"/>
          <a:ext cx="952500" cy="771524"/>
        </a:xfrm>
        <a:prstGeom prst="flowChartConnector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12066</xdr:colOff>
      <xdr:row>0</xdr:row>
      <xdr:rowOff>66676</xdr:rowOff>
    </xdr:from>
    <xdr:ext cx="930910" cy="923924"/>
    <xdr:pic>
      <xdr:nvPicPr>
        <xdr:cNvPr id="2" name="Picture 1">
          <a:extLst>
            <a:ext uri="{FF2B5EF4-FFF2-40B4-BE49-F238E27FC236}">
              <a16:creationId xmlns:a16="http://schemas.microsoft.com/office/drawing/2014/main" id="{3A3AD15D-4C2E-4494-BA61-31BC2EBCA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666" y="66676"/>
          <a:ext cx="930910" cy="923924"/>
        </a:xfrm>
        <a:prstGeom prst="flowChartConnector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34"/>
  <sheetViews>
    <sheetView topLeftCell="A9" zoomScale="85" zoomScaleNormal="85" workbookViewId="0">
      <selection activeCell="O24" sqref="O24"/>
    </sheetView>
  </sheetViews>
  <sheetFormatPr defaultColWidth="9" defaultRowHeight="15"/>
  <cols>
    <col min="2" max="2" width="9.140625" customWidth="1"/>
    <col min="3" max="4" width="13.28515625" customWidth="1"/>
    <col min="5" max="5" width="14.28515625" style="1" customWidth="1"/>
    <col min="6" max="6" width="14.7109375" customWidth="1"/>
    <col min="7" max="7" width="15.42578125" customWidth="1"/>
    <col min="8" max="8" width="17.140625" customWidth="1"/>
    <col min="9" max="9" width="13.28515625" style="6" customWidth="1"/>
    <col min="10" max="10" width="16.42578125" style="6" customWidth="1"/>
    <col min="12" max="12" width="9.85546875" customWidth="1"/>
    <col min="13" max="13" width="13" customWidth="1"/>
    <col min="14" max="14" width="12.42578125" customWidth="1"/>
    <col min="15" max="15" width="15.42578125" customWidth="1"/>
    <col min="16" max="16" width="14.28515625" customWidth="1"/>
    <col min="17" max="17" width="10.85546875" bestFit="1" customWidth="1"/>
    <col min="18" max="18" width="14.28515625" customWidth="1"/>
    <col min="19" max="19" width="13.5703125" customWidth="1"/>
  </cols>
  <sheetData>
    <row r="1" spans="2:19" ht="75" customHeight="1">
      <c r="B1" s="59" t="s">
        <v>0</v>
      </c>
      <c r="C1" s="59"/>
      <c r="D1" s="59"/>
      <c r="E1" s="59"/>
      <c r="F1" s="59"/>
      <c r="G1" s="59"/>
      <c r="H1" s="59"/>
      <c r="I1" s="59"/>
      <c r="J1" s="59"/>
      <c r="L1" s="52" t="s">
        <v>0</v>
      </c>
      <c r="M1" s="52"/>
      <c r="N1" s="52"/>
      <c r="O1" s="52"/>
      <c r="P1" s="52"/>
      <c r="Q1" s="52"/>
      <c r="R1" s="52"/>
      <c r="S1" s="52"/>
    </row>
    <row r="2" spans="2:19" ht="30" customHeight="1">
      <c r="B2" s="53" t="s">
        <v>1</v>
      </c>
      <c r="C2" s="53"/>
      <c r="D2" s="53"/>
      <c r="E2" s="53"/>
      <c r="F2" s="53"/>
      <c r="G2" s="53"/>
      <c r="H2" s="53"/>
      <c r="I2" s="53"/>
      <c r="J2" s="53"/>
      <c r="L2" s="53" t="s">
        <v>1</v>
      </c>
      <c r="M2" s="53"/>
      <c r="N2" s="53"/>
      <c r="O2" s="53"/>
      <c r="P2" s="53"/>
      <c r="Q2" s="53"/>
      <c r="R2" s="53"/>
      <c r="S2" s="53"/>
    </row>
    <row r="3" spans="2:19" ht="30" customHeight="1">
      <c r="B3" s="57" t="s">
        <v>41</v>
      </c>
      <c r="C3" s="57"/>
      <c r="D3" s="57"/>
      <c r="E3" s="57"/>
      <c r="F3" s="57"/>
      <c r="G3" s="57"/>
      <c r="H3" s="57"/>
      <c r="I3" s="57"/>
      <c r="J3" s="57"/>
      <c r="L3" s="54" t="s">
        <v>40</v>
      </c>
      <c r="M3" s="55"/>
      <c r="N3" s="55"/>
      <c r="O3" s="55"/>
      <c r="P3" s="55"/>
      <c r="Q3" s="55"/>
      <c r="R3" s="55"/>
      <c r="S3" s="56"/>
    </row>
    <row r="4" spans="2:19" ht="31.5" customHeight="1">
      <c r="B4" s="57" t="s">
        <v>37</v>
      </c>
      <c r="C4" s="57"/>
      <c r="D4" s="57"/>
      <c r="E4" s="57"/>
      <c r="F4" s="57"/>
      <c r="G4" s="57"/>
      <c r="H4" s="57"/>
      <c r="I4" s="57"/>
      <c r="J4" s="57"/>
      <c r="L4" s="57" t="s">
        <v>38</v>
      </c>
      <c r="M4" s="57"/>
      <c r="N4" s="57"/>
      <c r="O4" s="57"/>
      <c r="P4" s="57"/>
      <c r="Q4" s="57"/>
      <c r="R4" s="57"/>
      <c r="S4" s="57"/>
    </row>
    <row r="5" spans="2:19" ht="66.7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35</v>
      </c>
      <c r="J5" s="2" t="s">
        <v>36</v>
      </c>
      <c r="L5" s="2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9" t="s">
        <v>39</v>
      </c>
      <c r="R5" s="2" t="s">
        <v>7</v>
      </c>
      <c r="S5" s="2" t="s">
        <v>8</v>
      </c>
    </row>
    <row r="6" spans="2:19" ht="30" customHeight="1">
      <c r="B6" s="3">
        <v>1</v>
      </c>
      <c r="C6" s="3" t="s">
        <v>9</v>
      </c>
      <c r="D6" s="3">
        <v>10067</v>
      </c>
      <c r="E6" s="3">
        <f>D6*4</f>
        <v>40268</v>
      </c>
      <c r="F6" s="3">
        <v>150</v>
      </c>
      <c r="G6" s="3">
        <v>0</v>
      </c>
      <c r="H6" s="3">
        <f>E6+F6+G6</f>
        <v>40418</v>
      </c>
      <c r="I6" s="3">
        <v>0</v>
      </c>
      <c r="J6" s="8">
        <f>E6*95/100</f>
        <v>38254.6</v>
      </c>
      <c r="L6" s="3">
        <v>1</v>
      </c>
      <c r="M6" s="3" t="s">
        <v>9</v>
      </c>
      <c r="N6" s="3">
        <v>9152</v>
      </c>
      <c r="O6" s="3">
        <f>N6*4</f>
        <v>36608</v>
      </c>
      <c r="P6" s="3">
        <v>150</v>
      </c>
      <c r="Q6" s="3">
        <v>0</v>
      </c>
      <c r="R6" s="3">
        <v>0</v>
      </c>
      <c r="S6" s="3">
        <f t="shared" ref="S6:S24" si="0">O6+P6+Q6+R6</f>
        <v>36758</v>
      </c>
    </row>
    <row r="7" spans="2:19" ht="30" customHeight="1">
      <c r="B7" s="3">
        <v>2</v>
      </c>
      <c r="C7" s="3" t="s">
        <v>10</v>
      </c>
      <c r="D7" s="3">
        <v>10067</v>
      </c>
      <c r="E7" s="3">
        <f t="shared" ref="E7:E24" si="1">D7*4</f>
        <v>40268</v>
      </c>
      <c r="F7" s="3">
        <v>150</v>
      </c>
      <c r="G7" s="3">
        <v>0</v>
      </c>
      <c r="H7" s="3">
        <f t="shared" ref="H7:H24" si="2">E7+F7+G7</f>
        <v>40418</v>
      </c>
      <c r="I7" s="3">
        <v>0</v>
      </c>
      <c r="J7" s="8">
        <f t="shared" ref="J7:J24" si="3">E7*95/100</f>
        <v>38254.6</v>
      </c>
      <c r="L7" s="3">
        <v>2</v>
      </c>
      <c r="M7" s="3" t="s">
        <v>10</v>
      </c>
      <c r="N7" s="3">
        <v>9152</v>
      </c>
      <c r="O7" s="3">
        <f t="shared" ref="O7:O24" si="4">N7*4</f>
        <v>36608</v>
      </c>
      <c r="P7" s="3">
        <v>150</v>
      </c>
      <c r="Q7" s="3">
        <v>0</v>
      </c>
      <c r="R7" s="3">
        <v>0</v>
      </c>
      <c r="S7" s="3">
        <f t="shared" si="0"/>
        <v>36758</v>
      </c>
    </row>
    <row r="8" spans="2:19" ht="30" customHeight="1">
      <c r="B8" s="3">
        <v>3</v>
      </c>
      <c r="C8" s="3" t="s">
        <v>11</v>
      </c>
      <c r="D8" s="3">
        <v>10067</v>
      </c>
      <c r="E8" s="3">
        <f t="shared" si="1"/>
        <v>40268</v>
      </c>
      <c r="F8" s="3">
        <v>150</v>
      </c>
      <c r="G8" s="3">
        <v>0</v>
      </c>
      <c r="H8" s="3">
        <f t="shared" si="2"/>
        <v>40418</v>
      </c>
      <c r="I8" s="3">
        <v>0</v>
      </c>
      <c r="J8" s="8">
        <f t="shared" si="3"/>
        <v>38254.6</v>
      </c>
      <c r="L8" s="3">
        <v>3</v>
      </c>
      <c r="M8" s="3" t="s">
        <v>11</v>
      </c>
      <c r="N8" s="3">
        <v>9152</v>
      </c>
      <c r="O8" s="3">
        <f t="shared" si="4"/>
        <v>36608</v>
      </c>
      <c r="P8" s="3">
        <v>150</v>
      </c>
      <c r="Q8" s="3">
        <v>0</v>
      </c>
      <c r="R8" s="3">
        <v>0</v>
      </c>
      <c r="S8" s="3">
        <f t="shared" si="0"/>
        <v>36758</v>
      </c>
    </row>
    <row r="9" spans="2:19" ht="30" customHeight="1">
      <c r="B9" s="3">
        <v>4</v>
      </c>
      <c r="C9" s="3" t="s">
        <v>12</v>
      </c>
      <c r="D9" s="3">
        <v>11517</v>
      </c>
      <c r="E9" s="3">
        <f t="shared" si="1"/>
        <v>46068</v>
      </c>
      <c r="F9" s="3">
        <v>150</v>
      </c>
      <c r="G9" s="3">
        <v>0</v>
      </c>
      <c r="H9" s="3">
        <f t="shared" si="2"/>
        <v>46218</v>
      </c>
      <c r="I9" s="3">
        <v>0</v>
      </c>
      <c r="J9" s="8">
        <f t="shared" si="3"/>
        <v>43764.6</v>
      </c>
      <c r="L9" s="3">
        <v>4</v>
      </c>
      <c r="M9" s="3" t="s">
        <v>12</v>
      </c>
      <c r="N9" s="3">
        <v>10470</v>
      </c>
      <c r="O9" s="3">
        <f t="shared" si="4"/>
        <v>41880</v>
      </c>
      <c r="P9" s="3">
        <v>150</v>
      </c>
      <c r="Q9" s="3">
        <v>0</v>
      </c>
      <c r="R9" s="3">
        <v>0</v>
      </c>
      <c r="S9" s="3">
        <f t="shared" si="0"/>
        <v>42030</v>
      </c>
    </row>
    <row r="10" spans="2:19" ht="30" customHeight="1">
      <c r="B10" s="3">
        <v>5</v>
      </c>
      <c r="C10" s="3" t="s">
        <v>13</v>
      </c>
      <c r="D10" s="3">
        <v>11517</v>
      </c>
      <c r="E10" s="3">
        <f t="shared" si="1"/>
        <v>46068</v>
      </c>
      <c r="F10" s="3">
        <v>150</v>
      </c>
      <c r="G10" s="3">
        <v>0</v>
      </c>
      <c r="H10" s="3">
        <f t="shared" si="2"/>
        <v>46218</v>
      </c>
      <c r="I10" s="3">
        <v>0</v>
      </c>
      <c r="J10" s="8">
        <f t="shared" si="3"/>
        <v>43764.6</v>
      </c>
      <c r="L10" s="3">
        <v>5</v>
      </c>
      <c r="M10" s="3" t="s">
        <v>13</v>
      </c>
      <c r="N10" s="3">
        <v>10470</v>
      </c>
      <c r="O10" s="3">
        <f t="shared" si="4"/>
        <v>41880</v>
      </c>
      <c r="P10" s="3">
        <v>150</v>
      </c>
      <c r="Q10" s="3">
        <v>0</v>
      </c>
      <c r="R10" s="3">
        <v>0</v>
      </c>
      <c r="S10" s="3">
        <f t="shared" si="0"/>
        <v>42030</v>
      </c>
    </row>
    <row r="11" spans="2:19" ht="30" customHeight="1">
      <c r="B11" s="3">
        <v>6</v>
      </c>
      <c r="C11" s="3" t="s">
        <v>14</v>
      </c>
      <c r="D11" s="3">
        <v>11517</v>
      </c>
      <c r="E11" s="3">
        <f t="shared" si="1"/>
        <v>46068</v>
      </c>
      <c r="F11" s="3">
        <v>150</v>
      </c>
      <c r="G11" s="3">
        <v>1200</v>
      </c>
      <c r="H11" s="3">
        <f t="shared" si="2"/>
        <v>47418</v>
      </c>
      <c r="I11" s="5">
        <v>300</v>
      </c>
      <c r="J11" s="8">
        <f t="shared" si="3"/>
        <v>43764.6</v>
      </c>
      <c r="L11" s="3">
        <v>6</v>
      </c>
      <c r="M11" s="3" t="s">
        <v>14</v>
      </c>
      <c r="N11" s="3">
        <v>10470</v>
      </c>
      <c r="O11" s="3">
        <f t="shared" si="4"/>
        <v>41880</v>
      </c>
      <c r="P11" s="3">
        <v>150</v>
      </c>
      <c r="Q11" s="3">
        <v>0</v>
      </c>
      <c r="R11" s="3">
        <v>1200</v>
      </c>
      <c r="S11" s="3">
        <f t="shared" si="0"/>
        <v>43230</v>
      </c>
    </row>
    <row r="12" spans="2:19" ht="30" customHeight="1">
      <c r="B12" s="3">
        <v>7</v>
      </c>
      <c r="C12" s="3" t="s">
        <v>15</v>
      </c>
      <c r="D12" s="3">
        <v>11517</v>
      </c>
      <c r="E12" s="3">
        <f t="shared" si="1"/>
        <v>46068</v>
      </c>
      <c r="F12" s="3">
        <v>150</v>
      </c>
      <c r="G12" s="3">
        <v>1200</v>
      </c>
      <c r="H12" s="3">
        <f t="shared" si="2"/>
        <v>47418</v>
      </c>
      <c r="I12" s="5">
        <v>300</v>
      </c>
      <c r="J12" s="8">
        <f t="shared" si="3"/>
        <v>43764.6</v>
      </c>
      <c r="L12" s="3">
        <v>7</v>
      </c>
      <c r="M12" s="3" t="s">
        <v>15</v>
      </c>
      <c r="N12" s="3">
        <v>10470</v>
      </c>
      <c r="O12" s="3">
        <f t="shared" si="4"/>
        <v>41880</v>
      </c>
      <c r="P12" s="3">
        <v>150</v>
      </c>
      <c r="Q12" s="3">
        <v>0</v>
      </c>
      <c r="R12" s="3">
        <v>1200</v>
      </c>
      <c r="S12" s="3">
        <f t="shared" si="0"/>
        <v>43230</v>
      </c>
    </row>
    <row r="13" spans="2:19" ht="30" customHeight="1">
      <c r="B13" s="3">
        <v>8</v>
      </c>
      <c r="C13" s="3" t="s">
        <v>16</v>
      </c>
      <c r="D13" s="3">
        <v>11517</v>
      </c>
      <c r="E13" s="3">
        <f t="shared" si="1"/>
        <v>46068</v>
      </c>
      <c r="F13" s="3">
        <v>150</v>
      </c>
      <c r="G13" s="3">
        <v>2200</v>
      </c>
      <c r="H13" s="3">
        <f t="shared" si="2"/>
        <v>48418</v>
      </c>
      <c r="I13" s="5">
        <v>550</v>
      </c>
      <c r="J13" s="8">
        <f t="shared" si="3"/>
        <v>43764.6</v>
      </c>
      <c r="L13" s="3">
        <v>8</v>
      </c>
      <c r="M13" s="3" t="s">
        <v>16</v>
      </c>
      <c r="N13" s="3">
        <v>10470</v>
      </c>
      <c r="O13" s="3">
        <f t="shared" si="4"/>
        <v>41880</v>
      </c>
      <c r="P13" s="3">
        <v>150</v>
      </c>
      <c r="Q13" s="3">
        <v>0</v>
      </c>
      <c r="R13" s="3">
        <v>2200</v>
      </c>
      <c r="S13" s="3">
        <f t="shared" si="0"/>
        <v>44230</v>
      </c>
    </row>
    <row r="14" spans="2:19" ht="30" customHeight="1">
      <c r="B14" s="3">
        <v>9</v>
      </c>
      <c r="C14" s="3" t="s">
        <v>17</v>
      </c>
      <c r="D14" s="3">
        <v>12241</v>
      </c>
      <c r="E14" s="3">
        <f t="shared" si="1"/>
        <v>48964</v>
      </c>
      <c r="F14" s="3">
        <v>150</v>
      </c>
      <c r="G14" s="3">
        <v>2200</v>
      </c>
      <c r="H14" s="3">
        <f t="shared" si="2"/>
        <v>51314</v>
      </c>
      <c r="I14" s="5">
        <v>550</v>
      </c>
      <c r="J14" s="8">
        <f t="shared" si="3"/>
        <v>46515.8</v>
      </c>
      <c r="L14" s="3">
        <v>9</v>
      </c>
      <c r="M14" s="3" t="s">
        <v>17</v>
      </c>
      <c r="N14" s="3">
        <v>11128</v>
      </c>
      <c r="O14" s="3">
        <f t="shared" si="4"/>
        <v>44512</v>
      </c>
      <c r="P14" s="3">
        <v>150</v>
      </c>
      <c r="Q14" s="3">
        <v>0</v>
      </c>
      <c r="R14" s="3">
        <v>2200</v>
      </c>
      <c r="S14" s="3">
        <f t="shared" si="0"/>
        <v>46862</v>
      </c>
    </row>
    <row r="15" spans="2:19" ht="30" customHeight="1">
      <c r="B15" s="3">
        <v>10</v>
      </c>
      <c r="C15" s="3" t="s">
        <v>18</v>
      </c>
      <c r="D15" s="3">
        <v>12241</v>
      </c>
      <c r="E15" s="3">
        <f t="shared" si="1"/>
        <v>48964</v>
      </c>
      <c r="F15" s="3">
        <v>150</v>
      </c>
      <c r="G15" s="3">
        <v>2200</v>
      </c>
      <c r="H15" s="3">
        <f t="shared" si="2"/>
        <v>51314</v>
      </c>
      <c r="I15" s="5">
        <v>550</v>
      </c>
      <c r="J15" s="8">
        <f t="shared" si="3"/>
        <v>46515.8</v>
      </c>
      <c r="L15" s="3">
        <v>10</v>
      </c>
      <c r="M15" s="3" t="s">
        <v>18</v>
      </c>
      <c r="N15" s="3">
        <v>11128</v>
      </c>
      <c r="O15" s="3">
        <f t="shared" si="4"/>
        <v>44512</v>
      </c>
      <c r="P15" s="3">
        <v>150</v>
      </c>
      <c r="Q15" s="3">
        <v>0</v>
      </c>
      <c r="R15" s="3">
        <v>2200</v>
      </c>
      <c r="S15" s="3">
        <f t="shared" si="0"/>
        <v>46862</v>
      </c>
    </row>
    <row r="16" spans="2:19" ht="30" customHeight="1">
      <c r="B16" s="3">
        <v>11</v>
      </c>
      <c r="C16" s="3" t="s">
        <v>19</v>
      </c>
      <c r="D16" s="3">
        <v>12241</v>
      </c>
      <c r="E16" s="3">
        <f t="shared" si="1"/>
        <v>48964</v>
      </c>
      <c r="F16" s="3">
        <v>150</v>
      </c>
      <c r="G16" s="3">
        <v>2200</v>
      </c>
      <c r="H16" s="3">
        <f t="shared" si="2"/>
        <v>51314</v>
      </c>
      <c r="I16" s="5">
        <v>550</v>
      </c>
      <c r="J16" s="8">
        <f t="shared" si="3"/>
        <v>46515.8</v>
      </c>
      <c r="L16" s="3">
        <v>11</v>
      </c>
      <c r="M16" s="3" t="s">
        <v>19</v>
      </c>
      <c r="N16" s="3">
        <v>11128</v>
      </c>
      <c r="O16" s="3">
        <f t="shared" si="4"/>
        <v>44512</v>
      </c>
      <c r="P16" s="3">
        <v>150</v>
      </c>
      <c r="Q16" s="3">
        <v>0</v>
      </c>
      <c r="R16" s="3">
        <v>2200</v>
      </c>
      <c r="S16" s="3">
        <f t="shared" si="0"/>
        <v>46862</v>
      </c>
    </row>
    <row r="17" spans="2:19" ht="30" customHeight="1">
      <c r="B17" s="3">
        <v>12</v>
      </c>
      <c r="C17" s="3" t="s">
        <v>20</v>
      </c>
      <c r="D17" s="3">
        <v>13851</v>
      </c>
      <c r="E17" s="3">
        <f t="shared" si="1"/>
        <v>55404</v>
      </c>
      <c r="F17" s="3">
        <v>150</v>
      </c>
      <c r="G17" s="3">
        <v>2200</v>
      </c>
      <c r="H17" s="3">
        <f t="shared" si="2"/>
        <v>57754</v>
      </c>
      <c r="I17" s="5">
        <v>550</v>
      </c>
      <c r="J17" s="8">
        <f t="shared" si="3"/>
        <v>52633.8</v>
      </c>
      <c r="L17" s="3">
        <v>12</v>
      </c>
      <c r="M17" s="3" t="s">
        <v>20</v>
      </c>
      <c r="N17" s="3">
        <v>12592</v>
      </c>
      <c r="O17" s="3">
        <f t="shared" si="4"/>
        <v>50368</v>
      </c>
      <c r="P17" s="3">
        <v>150</v>
      </c>
      <c r="Q17" s="3">
        <v>0</v>
      </c>
      <c r="R17" s="3">
        <v>2200</v>
      </c>
      <c r="S17" s="3">
        <f t="shared" si="0"/>
        <v>52718</v>
      </c>
    </row>
    <row r="18" spans="2:19" ht="30" customHeight="1">
      <c r="B18" s="3">
        <v>13</v>
      </c>
      <c r="C18" s="3" t="s">
        <v>21</v>
      </c>
      <c r="D18" s="3">
        <v>13851</v>
      </c>
      <c r="E18" s="3">
        <f t="shared" si="1"/>
        <v>55404</v>
      </c>
      <c r="F18" s="3">
        <v>150</v>
      </c>
      <c r="G18" s="3">
        <v>0</v>
      </c>
      <c r="H18" s="3">
        <f t="shared" si="2"/>
        <v>55554</v>
      </c>
      <c r="I18" s="3">
        <v>0</v>
      </c>
      <c r="J18" s="8">
        <f t="shared" si="3"/>
        <v>52633.8</v>
      </c>
      <c r="L18" s="3">
        <v>13</v>
      </c>
      <c r="M18" s="3" t="s">
        <v>21</v>
      </c>
      <c r="N18" s="3">
        <v>12592</v>
      </c>
      <c r="O18" s="3">
        <f t="shared" si="4"/>
        <v>50368</v>
      </c>
      <c r="P18" s="3">
        <v>150</v>
      </c>
      <c r="Q18" s="3">
        <v>0</v>
      </c>
      <c r="R18" s="3">
        <v>0</v>
      </c>
      <c r="S18" s="3">
        <f t="shared" si="0"/>
        <v>50518</v>
      </c>
    </row>
    <row r="19" spans="2:19" ht="30" customHeight="1">
      <c r="B19" s="3">
        <v>14</v>
      </c>
      <c r="C19" s="3" t="s">
        <v>22</v>
      </c>
      <c r="D19" s="3">
        <v>17716</v>
      </c>
      <c r="E19" s="3">
        <f t="shared" si="1"/>
        <v>70864</v>
      </c>
      <c r="F19" s="3">
        <v>150</v>
      </c>
      <c r="G19" s="3">
        <v>2200</v>
      </c>
      <c r="H19" s="3">
        <f t="shared" si="2"/>
        <v>73214</v>
      </c>
      <c r="I19" s="5">
        <v>550</v>
      </c>
      <c r="J19" s="8">
        <f t="shared" si="3"/>
        <v>67320.800000000003</v>
      </c>
      <c r="L19" s="3">
        <v>14</v>
      </c>
      <c r="M19" s="3" t="s">
        <v>22</v>
      </c>
      <c r="N19" s="3">
        <v>16105</v>
      </c>
      <c r="O19" s="3">
        <f t="shared" si="4"/>
        <v>64420</v>
      </c>
      <c r="P19" s="3">
        <v>150</v>
      </c>
      <c r="Q19" s="3">
        <v>0</v>
      </c>
      <c r="R19" s="3">
        <v>2200</v>
      </c>
      <c r="S19" s="3">
        <f t="shared" si="0"/>
        <v>66770</v>
      </c>
    </row>
    <row r="20" spans="2:19" ht="30" customHeight="1">
      <c r="B20" s="3">
        <v>15</v>
      </c>
      <c r="C20" s="3" t="s">
        <v>23</v>
      </c>
      <c r="D20" s="3">
        <v>17716</v>
      </c>
      <c r="E20" s="3">
        <f t="shared" si="1"/>
        <v>70864</v>
      </c>
      <c r="F20" s="3">
        <v>150</v>
      </c>
      <c r="G20" s="3">
        <v>0</v>
      </c>
      <c r="H20" s="3">
        <f t="shared" si="2"/>
        <v>71014</v>
      </c>
      <c r="I20" s="3">
        <v>0</v>
      </c>
      <c r="J20" s="8">
        <f t="shared" si="3"/>
        <v>67320.800000000003</v>
      </c>
      <c r="L20" s="3">
        <v>15</v>
      </c>
      <c r="M20" s="3" t="s">
        <v>23</v>
      </c>
      <c r="N20" s="3">
        <v>16105</v>
      </c>
      <c r="O20" s="3">
        <f t="shared" si="4"/>
        <v>64420</v>
      </c>
      <c r="P20" s="3">
        <v>150</v>
      </c>
      <c r="Q20" s="3">
        <v>0</v>
      </c>
      <c r="R20" s="3">
        <v>0</v>
      </c>
      <c r="S20" s="3">
        <f t="shared" si="0"/>
        <v>64570</v>
      </c>
    </row>
    <row r="21" spans="2:19" ht="30" customHeight="1">
      <c r="B21" s="3">
        <v>16</v>
      </c>
      <c r="C21" s="3" t="s">
        <v>24</v>
      </c>
      <c r="D21" s="3">
        <v>17716</v>
      </c>
      <c r="E21" s="3">
        <f t="shared" si="1"/>
        <v>70864</v>
      </c>
      <c r="F21" s="3">
        <v>150</v>
      </c>
      <c r="G21" s="3">
        <v>0</v>
      </c>
      <c r="H21" s="3">
        <f t="shared" si="2"/>
        <v>71014</v>
      </c>
      <c r="I21" s="3">
        <v>0</v>
      </c>
      <c r="J21" s="8">
        <f t="shared" si="3"/>
        <v>67320.800000000003</v>
      </c>
      <c r="L21" s="3">
        <v>16</v>
      </c>
      <c r="M21" s="3" t="s">
        <v>24</v>
      </c>
      <c r="N21" s="3">
        <v>16105</v>
      </c>
      <c r="O21" s="3">
        <f t="shared" si="4"/>
        <v>64420</v>
      </c>
      <c r="P21" s="3">
        <v>150</v>
      </c>
      <c r="Q21" s="3">
        <v>0</v>
      </c>
      <c r="R21" s="3">
        <v>0</v>
      </c>
      <c r="S21" s="3">
        <f t="shared" si="0"/>
        <v>64570</v>
      </c>
    </row>
    <row r="22" spans="2:19" ht="30" customHeight="1">
      <c r="B22" s="3">
        <v>17</v>
      </c>
      <c r="C22" s="3" t="s">
        <v>25</v>
      </c>
      <c r="D22" s="3">
        <v>17716</v>
      </c>
      <c r="E22" s="3">
        <f t="shared" si="1"/>
        <v>70864</v>
      </c>
      <c r="F22" s="3">
        <v>150</v>
      </c>
      <c r="G22" s="3">
        <v>0</v>
      </c>
      <c r="H22" s="3">
        <f t="shared" si="2"/>
        <v>71014</v>
      </c>
      <c r="I22" s="3">
        <v>0</v>
      </c>
      <c r="J22" s="8">
        <f t="shared" si="3"/>
        <v>67320.800000000003</v>
      </c>
      <c r="L22" s="3">
        <v>17</v>
      </c>
      <c r="M22" s="3" t="s">
        <v>25</v>
      </c>
      <c r="N22" s="3">
        <v>16105</v>
      </c>
      <c r="O22" s="3">
        <f t="shared" si="4"/>
        <v>64420</v>
      </c>
      <c r="P22" s="3">
        <v>150</v>
      </c>
      <c r="Q22" s="3">
        <v>0</v>
      </c>
      <c r="R22" s="3">
        <v>0</v>
      </c>
      <c r="S22" s="3">
        <f t="shared" si="0"/>
        <v>64570</v>
      </c>
    </row>
    <row r="23" spans="2:19" ht="30" customHeight="1">
      <c r="B23" s="3">
        <v>18</v>
      </c>
      <c r="C23" s="3" t="s">
        <v>26</v>
      </c>
      <c r="D23" s="3">
        <v>17716</v>
      </c>
      <c r="E23" s="3">
        <f t="shared" si="1"/>
        <v>70864</v>
      </c>
      <c r="F23" s="3">
        <v>150</v>
      </c>
      <c r="G23" s="3">
        <v>0</v>
      </c>
      <c r="H23" s="3">
        <f t="shared" si="2"/>
        <v>71014</v>
      </c>
      <c r="I23" s="3">
        <v>0</v>
      </c>
      <c r="J23" s="8">
        <f t="shared" si="3"/>
        <v>67320.800000000003</v>
      </c>
      <c r="L23" s="3">
        <v>18</v>
      </c>
      <c r="M23" s="3" t="s">
        <v>26</v>
      </c>
      <c r="N23" s="3">
        <v>16105</v>
      </c>
      <c r="O23" s="3">
        <f t="shared" si="4"/>
        <v>64420</v>
      </c>
      <c r="P23" s="3">
        <v>150</v>
      </c>
      <c r="Q23" s="3">
        <v>0</v>
      </c>
      <c r="R23" s="3">
        <v>0</v>
      </c>
      <c r="S23" s="3">
        <f t="shared" si="0"/>
        <v>64570</v>
      </c>
    </row>
    <row r="24" spans="2:19" ht="30" customHeight="1">
      <c r="B24" s="3">
        <v>19</v>
      </c>
      <c r="C24" s="3" t="s">
        <v>27</v>
      </c>
      <c r="D24" s="3">
        <v>17716</v>
      </c>
      <c r="E24" s="3">
        <f t="shared" si="1"/>
        <v>70864</v>
      </c>
      <c r="F24" s="3">
        <v>150</v>
      </c>
      <c r="G24" s="3">
        <v>0</v>
      </c>
      <c r="H24" s="3">
        <f t="shared" si="2"/>
        <v>71014</v>
      </c>
      <c r="I24" s="3">
        <v>0</v>
      </c>
      <c r="J24" s="8">
        <f t="shared" si="3"/>
        <v>67320.800000000003</v>
      </c>
      <c r="L24" s="3">
        <v>19</v>
      </c>
      <c r="M24" s="3" t="s">
        <v>27</v>
      </c>
      <c r="N24" s="3">
        <v>16105</v>
      </c>
      <c r="O24" s="3">
        <f t="shared" si="4"/>
        <v>64420</v>
      </c>
      <c r="P24" s="3">
        <v>150</v>
      </c>
      <c r="Q24" s="3">
        <v>0</v>
      </c>
      <c r="R24" s="3">
        <v>0</v>
      </c>
      <c r="S24" s="3">
        <f t="shared" si="0"/>
        <v>64570</v>
      </c>
    </row>
    <row r="26" spans="2:19" ht="24.75" customHeight="1"/>
    <row r="27" spans="2:19" ht="23.25">
      <c r="B27" s="58" t="s">
        <v>28</v>
      </c>
      <c r="C27" s="58"/>
      <c r="D27" s="58"/>
      <c r="E27" s="58"/>
      <c r="F27" s="4"/>
      <c r="G27" s="4"/>
      <c r="H27" s="4"/>
      <c r="I27" s="7"/>
    </row>
    <row r="28" spans="2:19" ht="18.75">
      <c r="B28" s="50" t="s">
        <v>29</v>
      </c>
      <c r="C28" s="50"/>
      <c r="D28" s="50"/>
      <c r="E28" s="50"/>
      <c r="F28" s="50"/>
      <c r="G28" s="50"/>
      <c r="H28" s="50"/>
      <c r="I28" s="50"/>
      <c r="J28" s="50"/>
    </row>
    <row r="29" spans="2:19" ht="39.75" customHeight="1">
      <c r="B29" s="51" t="s">
        <v>62</v>
      </c>
      <c r="C29" s="51"/>
      <c r="D29" s="51"/>
      <c r="E29" s="51"/>
      <c r="F29" s="51"/>
      <c r="G29" s="51"/>
      <c r="H29" s="51"/>
      <c r="I29" s="51"/>
      <c r="J29" s="51"/>
    </row>
    <row r="30" spans="2:19" ht="18.75">
      <c r="B30" s="51" t="s">
        <v>34</v>
      </c>
      <c r="C30" s="51"/>
      <c r="D30" s="51"/>
      <c r="E30" s="51"/>
      <c r="F30" s="51"/>
      <c r="G30" s="51"/>
      <c r="H30" s="51"/>
      <c r="I30" s="51"/>
      <c r="J30" s="51"/>
    </row>
    <row r="31" spans="2:19" ht="18.75">
      <c r="B31" s="51" t="s">
        <v>33</v>
      </c>
      <c r="C31" s="51"/>
      <c r="D31" s="51"/>
      <c r="E31" s="51"/>
      <c r="F31" s="51"/>
      <c r="G31" s="51"/>
      <c r="H31" s="51"/>
      <c r="I31" s="51"/>
      <c r="J31" s="51"/>
    </row>
    <row r="32" spans="2:19" ht="18.75">
      <c r="B32" s="51" t="s">
        <v>30</v>
      </c>
      <c r="C32" s="51"/>
      <c r="D32" s="51"/>
      <c r="E32" s="51"/>
      <c r="F32" s="51"/>
      <c r="G32" s="51"/>
      <c r="H32" s="51"/>
      <c r="I32" s="51"/>
      <c r="J32" s="51"/>
    </row>
    <row r="33" spans="2:10" ht="39.75" customHeight="1">
      <c r="B33" s="51" t="s">
        <v>31</v>
      </c>
      <c r="C33" s="51"/>
      <c r="D33" s="51"/>
      <c r="E33" s="51"/>
      <c r="F33" s="51"/>
      <c r="G33" s="51"/>
      <c r="H33" s="51"/>
      <c r="I33" s="51"/>
      <c r="J33" s="51"/>
    </row>
    <row r="34" spans="2:10" ht="18.75">
      <c r="B34" s="50" t="s">
        <v>32</v>
      </c>
      <c r="C34" s="50"/>
      <c r="D34" s="50"/>
      <c r="E34" s="50"/>
      <c r="F34" s="50"/>
      <c r="G34" s="50"/>
      <c r="H34" s="50"/>
      <c r="I34" s="50"/>
      <c r="J34" s="50"/>
    </row>
  </sheetData>
  <mergeCells count="16">
    <mergeCell ref="L1:S1"/>
    <mergeCell ref="L2:S2"/>
    <mergeCell ref="L3:S3"/>
    <mergeCell ref="L4:S4"/>
    <mergeCell ref="B28:J28"/>
    <mergeCell ref="B27:E27"/>
    <mergeCell ref="B1:J1"/>
    <mergeCell ref="B2:J2"/>
    <mergeCell ref="B3:J3"/>
    <mergeCell ref="B4:J4"/>
    <mergeCell ref="B34:J34"/>
    <mergeCell ref="B33:J33"/>
    <mergeCell ref="B32:J32"/>
    <mergeCell ref="B31:J31"/>
    <mergeCell ref="B29:J29"/>
    <mergeCell ref="B30:J30"/>
  </mergeCells>
  <printOptions horizontalCentered="1"/>
  <pageMargins left="0.59055118110236204" right="0.59055118110236204" top="0.39370078740157499" bottom="0.23622047244094499" header="0.31496062992126" footer="0.31496062992126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F033-07D4-4E03-AC13-1A96BD38B1F8}">
  <sheetPr>
    <pageSetUpPr fitToPage="1"/>
  </sheetPr>
  <dimension ref="B1:J34"/>
  <sheetViews>
    <sheetView tabSelected="1" topLeftCell="A26" workbookViewId="0">
      <selection activeCell="B2" sqref="B2:J34"/>
    </sheetView>
  </sheetViews>
  <sheetFormatPr defaultRowHeight="15"/>
  <cols>
    <col min="2" max="2" width="9.5703125" customWidth="1"/>
    <col min="3" max="3" width="24.7109375" customWidth="1"/>
    <col min="4" max="4" width="18.85546875" customWidth="1"/>
    <col min="5" max="5" width="29" customWidth="1"/>
    <col min="6" max="6" width="19" customWidth="1"/>
    <col min="7" max="7" width="25.140625" customWidth="1"/>
    <col min="8" max="8" width="36" customWidth="1"/>
    <col min="9" max="9" width="21.28515625" customWidth="1"/>
    <col min="10" max="10" width="17.42578125" style="6" customWidth="1"/>
  </cols>
  <sheetData>
    <row r="1" spans="2:10" ht="43.5" customHeight="1" thickBot="1"/>
    <row r="2" spans="2:10" ht="81" customHeight="1" thickBot="1">
      <c r="B2" s="41" t="s">
        <v>64</v>
      </c>
      <c r="C2" s="42"/>
      <c r="D2" s="42"/>
      <c r="E2" s="42"/>
      <c r="F2" s="42"/>
      <c r="G2" s="42"/>
      <c r="H2" s="42"/>
      <c r="I2" s="42"/>
      <c r="J2" s="43"/>
    </row>
    <row r="3" spans="2:10" ht="35.1" customHeight="1" thickBot="1">
      <c r="B3" s="44" t="s">
        <v>1</v>
      </c>
      <c r="C3" s="45"/>
      <c r="D3" s="45"/>
      <c r="E3" s="45"/>
      <c r="F3" s="45"/>
      <c r="G3" s="45"/>
      <c r="H3" s="45"/>
      <c r="I3" s="45"/>
      <c r="J3" s="46"/>
    </row>
    <row r="4" spans="2:10" ht="35.1" customHeight="1" thickBot="1">
      <c r="B4" s="44" t="s">
        <v>49</v>
      </c>
      <c r="C4" s="45"/>
      <c r="D4" s="45"/>
      <c r="E4" s="45"/>
      <c r="F4" s="45"/>
      <c r="G4" s="45"/>
      <c r="H4" s="45"/>
      <c r="I4" s="45"/>
      <c r="J4" s="46"/>
    </row>
    <row r="5" spans="2:10" ht="35.1" customHeight="1" thickBot="1">
      <c r="B5" s="44" t="s">
        <v>42</v>
      </c>
      <c r="C5" s="45"/>
      <c r="D5" s="45"/>
      <c r="E5" s="45"/>
      <c r="F5" s="45"/>
      <c r="G5" s="45"/>
      <c r="H5" s="45"/>
      <c r="I5" s="45"/>
      <c r="J5" s="46"/>
    </row>
    <row r="6" spans="2:10" ht="70.5" customHeight="1" thickBot="1">
      <c r="B6" s="23" t="s">
        <v>2</v>
      </c>
      <c r="C6" s="24" t="s">
        <v>3</v>
      </c>
      <c r="D6" s="25" t="s">
        <v>4</v>
      </c>
      <c r="E6" s="24" t="s">
        <v>5</v>
      </c>
      <c r="F6" s="25" t="s">
        <v>6</v>
      </c>
      <c r="G6" s="24" t="s">
        <v>7</v>
      </c>
      <c r="H6" s="25" t="s">
        <v>8</v>
      </c>
      <c r="I6" s="24" t="s">
        <v>66</v>
      </c>
      <c r="J6" s="24" t="s">
        <v>65</v>
      </c>
    </row>
    <row r="7" spans="2:10" ht="35.1" customHeight="1" thickBot="1">
      <c r="B7" s="26">
        <v>1</v>
      </c>
      <c r="C7" s="27" t="s">
        <v>9</v>
      </c>
      <c r="D7" s="28">
        <v>10067</v>
      </c>
      <c r="E7" s="27">
        <f>D7*4</f>
        <v>40268</v>
      </c>
      <c r="F7" s="28">
        <v>150</v>
      </c>
      <c r="G7" s="27">
        <v>0</v>
      </c>
      <c r="H7" s="28">
        <f>E7+F7+G7</f>
        <v>40418</v>
      </c>
      <c r="I7" s="27">
        <v>0</v>
      </c>
      <c r="J7" s="27">
        <f>D7+I7</f>
        <v>10067</v>
      </c>
    </row>
    <row r="8" spans="2:10" ht="35.1" customHeight="1" thickBot="1">
      <c r="B8" s="29">
        <v>2</v>
      </c>
      <c r="C8" s="27" t="s">
        <v>10</v>
      </c>
      <c r="D8" s="31">
        <v>10067</v>
      </c>
      <c r="E8" s="27">
        <f t="shared" ref="E8:E25" si="0">D8*4</f>
        <v>40268</v>
      </c>
      <c r="F8" s="31">
        <v>150</v>
      </c>
      <c r="G8" s="27">
        <v>0</v>
      </c>
      <c r="H8" s="31">
        <f t="shared" ref="H8:H25" si="1">E8+F8+G8</f>
        <v>40418</v>
      </c>
      <c r="I8" s="39">
        <v>0</v>
      </c>
      <c r="J8" s="27">
        <f t="shared" ref="J8:J25" si="2">D8+I8</f>
        <v>10067</v>
      </c>
    </row>
    <row r="9" spans="2:10" ht="35.1" customHeight="1" thickBot="1">
      <c r="B9" s="27">
        <v>3</v>
      </c>
      <c r="C9" s="30" t="s">
        <v>11</v>
      </c>
      <c r="D9" s="27">
        <v>10067</v>
      </c>
      <c r="E9" s="27">
        <f t="shared" si="0"/>
        <v>40268</v>
      </c>
      <c r="F9" s="27">
        <v>150</v>
      </c>
      <c r="G9" s="30">
        <v>0</v>
      </c>
      <c r="H9" s="26">
        <f t="shared" si="1"/>
        <v>40418</v>
      </c>
      <c r="I9" s="38">
        <v>0</v>
      </c>
      <c r="J9" s="27">
        <f t="shared" si="2"/>
        <v>10067</v>
      </c>
    </row>
    <row r="10" spans="2:10" ht="35.1" customHeight="1" thickBot="1">
      <c r="B10" s="29">
        <v>4</v>
      </c>
      <c r="C10" s="27" t="s">
        <v>12</v>
      </c>
      <c r="D10" s="27">
        <v>11517</v>
      </c>
      <c r="E10" s="27">
        <f t="shared" si="0"/>
        <v>46068</v>
      </c>
      <c r="F10" s="27">
        <v>150</v>
      </c>
      <c r="G10" s="31">
        <v>0</v>
      </c>
      <c r="H10" s="26">
        <f t="shared" si="1"/>
        <v>46218</v>
      </c>
      <c r="I10" s="27">
        <v>0</v>
      </c>
      <c r="J10" s="27">
        <f t="shared" si="2"/>
        <v>11517</v>
      </c>
    </row>
    <row r="11" spans="2:10" ht="35.1" customHeight="1" thickBot="1">
      <c r="B11" s="27">
        <v>5</v>
      </c>
      <c r="C11" s="27" t="s">
        <v>13</v>
      </c>
      <c r="D11" s="30">
        <v>11517</v>
      </c>
      <c r="E11" s="27">
        <f t="shared" si="0"/>
        <v>46068</v>
      </c>
      <c r="F11" s="27">
        <v>150</v>
      </c>
      <c r="G11" s="27">
        <v>0</v>
      </c>
      <c r="H11" s="26">
        <f t="shared" si="1"/>
        <v>46218</v>
      </c>
      <c r="I11" s="38">
        <v>0</v>
      </c>
      <c r="J11" s="27">
        <f t="shared" si="2"/>
        <v>11517</v>
      </c>
    </row>
    <row r="12" spans="2:10" ht="35.1" customHeight="1" thickBot="1">
      <c r="B12" s="27">
        <v>6</v>
      </c>
      <c r="C12" s="27" t="s">
        <v>14</v>
      </c>
      <c r="D12" s="27">
        <v>11517</v>
      </c>
      <c r="E12" s="27">
        <f t="shared" si="0"/>
        <v>46068</v>
      </c>
      <c r="F12" s="27">
        <v>150</v>
      </c>
      <c r="G12" s="27">
        <v>1400</v>
      </c>
      <c r="H12" s="26">
        <f t="shared" si="1"/>
        <v>47618</v>
      </c>
      <c r="I12" s="27">
        <v>350</v>
      </c>
      <c r="J12" s="27">
        <f t="shared" si="2"/>
        <v>11867</v>
      </c>
    </row>
    <row r="13" spans="2:10" ht="35.1" customHeight="1" thickBot="1">
      <c r="B13" s="27">
        <v>7</v>
      </c>
      <c r="C13" s="27" t="s">
        <v>15</v>
      </c>
      <c r="D13" s="31">
        <v>11517</v>
      </c>
      <c r="E13" s="27">
        <f t="shared" si="0"/>
        <v>46068</v>
      </c>
      <c r="F13" s="31">
        <v>150</v>
      </c>
      <c r="G13" s="27">
        <v>1400</v>
      </c>
      <c r="H13" s="26">
        <f t="shared" si="1"/>
        <v>47618</v>
      </c>
      <c r="I13" s="38">
        <v>350</v>
      </c>
      <c r="J13" s="27">
        <f t="shared" si="2"/>
        <v>11867</v>
      </c>
    </row>
    <row r="14" spans="2:10" ht="35.1" customHeight="1" thickBot="1">
      <c r="B14" s="32">
        <v>8</v>
      </c>
      <c r="C14" s="27" t="s">
        <v>16</v>
      </c>
      <c r="D14" s="27">
        <v>11517</v>
      </c>
      <c r="E14" s="30">
        <f t="shared" si="0"/>
        <v>46068</v>
      </c>
      <c r="F14" s="27">
        <v>150</v>
      </c>
      <c r="G14" s="27">
        <v>2400</v>
      </c>
      <c r="H14" s="26">
        <f t="shared" si="1"/>
        <v>48618</v>
      </c>
      <c r="I14" s="27">
        <v>600</v>
      </c>
      <c r="J14" s="27">
        <f t="shared" si="2"/>
        <v>12117</v>
      </c>
    </row>
    <row r="15" spans="2:10" ht="35.1" customHeight="1" thickBot="1">
      <c r="B15" s="27">
        <v>9</v>
      </c>
      <c r="C15" s="27" t="s">
        <v>17</v>
      </c>
      <c r="D15" s="27">
        <v>12241</v>
      </c>
      <c r="E15" s="27">
        <f t="shared" si="0"/>
        <v>48964</v>
      </c>
      <c r="F15" s="27">
        <v>150</v>
      </c>
      <c r="G15" s="27">
        <v>2400</v>
      </c>
      <c r="H15" s="26">
        <f t="shared" si="1"/>
        <v>51514</v>
      </c>
      <c r="I15" s="38">
        <v>600</v>
      </c>
      <c r="J15" s="27">
        <f t="shared" si="2"/>
        <v>12841</v>
      </c>
    </row>
    <row r="16" spans="2:10" ht="35.1" customHeight="1" thickBot="1">
      <c r="B16" s="27">
        <v>10</v>
      </c>
      <c r="C16" s="27" t="s">
        <v>18</v>
      </c>
      <c r="D16" s="33">
        <v>12241</v>
      </c>
      <c r="E16" s="27">
        <f t="shared" si="0"/>
        <v>48964</v>
      </c>
      <c r="F16" s="27">
        <v>150</v>
      </c>
      <c r="G16" s="33">
        <v>2400</v>
      </c>
      <c r="H16" s="26">
        <f t="shared" si="1"/>
        <v>51514</v>
      </c>
      <c r="I16" s="27">
        <v>600</v>
      </c>
      <c r="J16" s="27">
        <f t="shared" si="2"/>
        <v>12841</v>
      </c>
    </row>
    <row r="17" spans="2:10" ht="35.1" customHeight="1" thickBot="1">
      <c r="B17" s="27">
        <v>11</v>
      </c>
      <c r="C17" s="27" t="s">
        <v>19</v>
      </c>
      <c r="D17" s="27">
        <v>12241</v>
      </c>
      <c r="E17" s="27">
        <f t="shared" si="0"/>
        <v>48964</v>
      </c>
      <c r="F17" s="27">
        <v>150</v>
      </c>
      <c r="G17" s="27">
        <v>2400</v>
      </c>
      <c r="H17" s="26">
        <f t="shared" si="1"/>
        <v>51514</v>
      </c>
      <c r="I17" s="38">
        <v>600</v>
      </c>
      <c r="J17" s="27">
        <f t="shared" si="2"/>
        <v>12841</v>
      </c>
    </row>
    <row r="18" spans="2:10" ht="35.1" customHeight="1" thickBot="1">
      <c r="B18" s="27">
        <v>12</v>
      </c>
      <c r="C18" s="27" t="s">
        <v>20</v>
      </c>
      <c r="D18" s="27">
        <v>13851</v>
      </c>
      <c r="E18" s="27">
        <f t="shared" si="0"/>
        <v>55404</v>
      </c>
      <c r="F18" s="33">
        <v>150</v>
      </c>
      <c r="G18" s="27">
        <v>2400</v>
      </c>
      <c r="H18" s="26">
        <f t="shared" si="1"/>
        <v>57954</v>
      </c>
      <c r="I18" s="27">
        <v>600</v>
      </c>
      <c r="J18" s="27">
        <f t="shared" si="2"/>
        <v>14451</v>
      </c>
    </row>
    <row r="19" spans="2:10" ht="35.1" customHeight="1" thickBot="1">
      <c r="B19" s="32">
        <v>13</v>
      </c>
      <c r="C19" s="27" t="s">
        <v>21</v>
      </c>
      <c r="D19" s="30">
        <v>13851</v>
      </c>
      <c r="E19" s="27">
        <f t="shared" si="0"/>
        <v>55404</v>
      </c>
      <c r="F19" s="27">
        <v>150</v>
      </c>
      <c r="G19" s="30">
        <v>0</v>
      </c>
      <c r="H19" s="26">
        <f t="shared" si="1"/>
        <v>55554</v>
      </c>
      <c r="I19" s="38">
        <v>0</v>
      </c>
      <c r="J19" s="27">
        <f t="shared" si="2"/>
        <v>13851</v>
      </c>
    </row>
    <row r="20" spans="2:10" ht="35.1" customHeight="1" thickBot="1">
      <c r="B20" s="34">
        <v>14</v>
      </c>
      <c r="C20" s="35" t="s">
        <v>22</v>
      </c>
      <c r="D20" s="33">
        <v>17716</v>
      </c>
      <c r="E20" s="27">
        <f t="shared" si="0"/>
        <v>70864</v>
      </c>
      <c r="F20" s="33">
        <v>150</v>
      </c>
      <c r="G20" s="27">
        <v>2400</v>
      </c>
      <c r="H20" s="29">
        <f t="shared" si="1"/>
        <v>73414</v>
      </c>
      <c r="I20" s="27">
        <v>600</v>
      </c>
      <c r="J20" s="27">
        <f t="shared" si="2"/>
        <v>18316</v>
      </c>
    </row>
    <row r="21" spans="2:10" ht="35.1" customHeight="1" thickBot="1">
      <c r="B21" s="26">
        <v>15</v>
      </c>
      <c r="C21" s="27" t="s">
        <v>23</v>
      </c>
      <c r="D21" s="28">
        <v>17716</v>
      </c>
      <c r="E21" s="27">
        <f t="shared" si="0"/>
        <v>70864</v>
      </c>
      <c r="F21" s="28">
        <v>150</v>
      </c>
      <c r="G21" s="27">
        <v>0</v>
      </c>
      <c r="H21" s="28">
        <f t="shared" si="1"/>
        <v>71014</v>
      </c>
      <c r="I21" s="38">
        <v>0</v>
      </c>
      <c r="J21" s="27">
        <f t="shared" si="2"/>
        <v>17716</v>
      </c>
    </row>
    <row r="22" spans="2:10" ht="35.1" customHeight="1" thickBot="1">
      <c r="B22" s="34">
        <v>16</v>
      </c>
      <c r="C22" s="27" t="s">
        <v>24</v>
      </c>
      <c r="D22" s="27">
        <v>17716</v>
      </c>
      <c r="E22" s="33">
        <f t="shared" si="0"/>
        <v>70864</v>
      </c>
      <c r="F22" s="27">
        <v>150</v>
      </c>
      <c r="G22" s="33">
        <v>0</v>
      </c>
      <c r="H22" s="26">
        <f t="shared" si="1"/>
        <v>71014</v>
      </c>
      <c r="I22" s="27">
        <v>0</v>
      </c>
      <c r="J22" s="27">
        <f t="shared" si="2"/>
        <v>17716</v>
      </c>
    </row>
    <row r="23" spans="2:10" ht="35.1" customHeight="1" thickBot="1">
      <c r="B23" s="27">
        <v>17</v>
      </c>
      <c r="C23" s="28" t="s">
        <v>25</v>
      </c>
      <c r="D23" s="27">
        <v>17716</v>
      </c>
      <c r="E23" s="28">
        <f t="shared" si="0"/>
        <v>70864</v>
      </c>
      <c r="F23" s="27">
        <v>150</v>
      </c>
      <c r="G23" s="27">
        <v>0</v>
      </c>
      <c r="H23" s="28">
        <f t="shared" si="1"/>
        <v>71014</v>
      </c>
      <c r="I23" s="38">
        <v>0</v>
      </c>
      <c r="J23" s="27">
        <f t="shared" si="2"/>
        <v>17716</v>
      </c>
    </row>
    <row r="24" spans="2:10" ht="35.1" customHeight="1" thickBot="1">
      <c r="B24" s="34">
        <v>18</v>
      </c>
      <c r="C24" s="35" t="s">
        <v>26</v>
      </c>
      <c r="D24" s="35">
        <v>17716</v>
      </c>
      <c r="E24" s="27">
        <f t="shared" si="0"/>
        <v>70864</v>
      </c>
      <c r="F24" s="27">
        <v>150</v>
      </c>
      <c r="G24" s="27">
        <v>0</v>
      </c>
      <c r="H24" s="33">
        <f t="shared" si="1"/>
        <v>71014</v>
      </c>
      <c r="I24" s="27">
        <v>0</v>
      </c>
      <c r="J24" s="27">
        <f t="shared" si="2"/>
        <v>17716</v>
      </c>
    </row>
    <row r="25" spans="2:10" ht="35.1" customHeight="1" thickBot="1">
      <c r="B25" s="26">
        <v>19</v>
      </c>
      <c r="C25" s="27" t="s">
        <v>27</v>
      </c>
      <c r="D25" s="27">
        <v>17716</v>
      </c>
      <c r="E25" s="27">
        <f t="shared" si="0"/>
        <v>70864</v>
      </c>
      <c r="F25" s="27">
        <v>150</v>
      </c>
      <c r="G25" s="27">
        <v>0</v>
      </c>
      <c r="H25" s="28">
        <f t="shared" si="1"/>
        <v>71014</v>
      </c>
      <c r="I25" s="39">
        <v>0</v>
      </c>
      <c r="J25" s="27">
        <f t="shared" si="2"/>
        <v>17716</v>
      </c>
    </row>
    <row r="27" spans="2:10" ht="30" customHeight="1">
      <c r="B27" s="49" t="s">
        <v>28</v>
      </c>
      <c r="C27" s="49"/>
      <c r="D27" s="49"/>
      <c r="E27" s="49"/>
      <c r="F27" s="4"/>
      <c r="G27" s="4"/>
      <c r="H27" s="4"/>
      <c r="I27" s="7"/>
    </row>
    <row r="28" spans="2:10" ht="33.75" customHeight="1">
      <c r="B28" s="48" t="s">
        <v>43</v>
      </c>
      <c r="C28" s="48"/>
      <c r="D28" s="48"/>
      <c r="E28" s="48"/>
      <c r="F28" s="48"/>
      <c r="G28" s="48"/>
      <c r="H28" s="48"/>
      <c r="I28" s="12"/>
      <c r="J28" s="33"/>
    </row>
    <row r="29" spans="2:10" ht="54" customHeight="1">
      <c r="B29" s="47" t="s">
        <v>61</v>
      </c>
      <c r="C29" s="47"/>
      <c r="D29" s="47"/>
      <c r="E29" s="47"/>
      <c r="F29" s="47"/>
      <c r="G29" s="47"/>
      <c r="H29" s="47"/>
      <c r="I29" s="11"/>
      <c r="J29" s="40"/>
    </row>
    <row r="30" spans="2:10" ht="32.25" customHeight="1">
      <c r="B30" s="47" t="s">
        <v>44</v>
      </c>
      <c r="C30" s="47"/>
      <c r="D30" s="47"/>
      <c r="E30" s="47"/>
      <c r="F30" s="47"/>
      <c r="G30" s="47"/>
      <c r="H30" s="47"/>
      <c r="I30" s="11"/>
      <c r="J30" s="40"/>
    </row>
    <row r="31" spans="2:10" ht="60.75" customHeight="1">
      <c r="B31" s="47" t="s">
        <v>45</v>
      </c>
      <c r="C31" s="47"/>
      <c r="D31" s="47"/>
      <c r="E31" s="47"/>
      <c r="F31" s="47"/>
      <c r="G31" s="47"/>
      <c r="H31" s="47"/>
      <c r="I31" s="11"/>
      <c r="J31" s="40"/>
    </row>
    <row r="32" spans="2:10" ht="30" customHeight="1">
      <c r="B32" s="47" t="s">
        <v>46</v>
      </c>
      <c r="C32" s="47"/>
      <c r="D32" s="47"/>
      <c r="E32" s="47"/>
      <c r="F32" s="47"/>
      <c r="G32" s="47"/>
      <c r="H32" s="47"/>
      <c r="I32" s="47"/>
      <c r="J32" s="47"/>
    </row>
    <row r="33" spans="2:10" ht="64.5" customHeight="1">
      <c r="B33" s="47" t="s">
        <v>47</v>
      </c>
      <c r="C33" s="47"/>
      <c r="D33" s="47"/>
      <c r="E33" s="47"/>
      <c r="F33" s="47"/>
      <c r="G33" s="47"/>
      <c r="H33" s="47"/>
      <c r="I33" s="11"/>
      <c r="J33" s="40"/>
    </row>
    <row r="34" spans="2:10" ht="30" customHeight="1">
      <c r="B34" s="48" t="s">
        <v>48</v>
      </c>
      <c r="C34" s="48"/>
      <c r="D34" s="48"/>
      <c r="E34" s="48"/>
      <c r="F34" s="48"/>
      <c r="G34" s="48"/>
      <c r="H34" s="48"/>
      <c r="I34" s="12"/>
      <c r="J34" s="33"/>
    </row>
  </sheetData>
  <mergeCells count="12">
    <mergeCell ref="B33:H33"/>
    <mergeCell ref="B34:H34"/>
    <mergeCell ref="B27:E27"/>
    <mergeCell ref="B32:J32"/>
    <mergeCell ref="B28:H28"/>
    <mergeCell ref="B30:H30"/>
    <mergeCell ref="B29:H29"/>
    <mergeCell ref="B2:J2"/>
    <mergeCell ref="B3:J3"/>
    <mergeCell ref="B4:J4"/>
    <mergeCell ref="B5:J5"/>
    <mergeCell ref="B31:H31"/>
  </mergeCells>
  <pageMargins left="3.937007874015748E-2" right="0.43307086614173229" top="0.15748031496062992" bottom="0.74803149606299213" header="0.31496062992125984" footer="0.31496062992125984"/>
  <pageSetup paperSize="9"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D285-BA48-4CFE-B7D8-52ADAD4D309A}">
  <sheetPr>
    <pageSetUpPr fitToPage="1"/>
  </sheetPr>
  <dimension ref="A1:D8"/>
  <sheetViews>
    <sheetView workbookViewId="0">
      <selection activeCell="B7" sqref="B7"/>
    </sheetView>
  </sheetViews>
  <sheetFormatPr defaultRowHeight="15"/>
  <cols>
    <col min="1" max="1" width="9.140625" style="1"/>
    <col min="2" max="2" width="74.42578125" customWidth="1"/>
    <col min="3" max="3" width="21.5703125" style="1" customWidth="1"/>
    <col min="4" max="4" width="22.140625" style="1" customWidth="1"/>
  </cols>
  <sheetData>
    <row r="1" spans="1:4" ht="67.5" customHeight="1">
      <c r="A1" s="65" t="s">
        <v>60</v>
      </c>
      <c r="B1" s="66"/>
      <c r="C1" s="66"/>
      <c r="D1" s="67"/>
    </row>
    <row r="2" spans="1:4" ht="39" customHeight="1">
      <c r="A2" s="62" t="s">
        <v>58</v>
      </c>
      <c r="B2" s="63"/>
      <c r="C2" s="63"/>
      <c r="D2" s="64"/>
    </row>
    <row r="3" spans="1:4" s="6" customFormat="1" ht="30" customHeight="1">
      <c r="A3" s="15" t="s">
        <v>50</v>
      </c>
      <c r="B3" s="16" t="s">
        <v>51</v>
      </c>
      <c r="C3" s="13" t="s">
        <v>59</v>
      </c>
      <c r="D3" s="17" t="s">
        <v>52</v>
      </c>
    </row>
    <row r="4" spans="1:4" s="14" customFormat="1" ht="30" customHeight="1">
      <c r="A4" s="18">
        <v>1</v>
      </c>
      <c r="B4" s="19" t="s">
        <v>53</v>
      </c>
      <c r="C4" s="10">
        <v>4000</v>
      </c>
      <c r="D4" s="20">
        <v>5000</v>
      </c>
    </row>
    <row r="5" spans="1:4" s="14" customFormat="1" ht="30" customHeight="1">
      <c r="A5" s="18">
        <v>2</v>
      </c>
      <c r="B5" s="19" t="s">
        <v>54</v>
      </c>
      <c r="C5" s="10">
        <v>5000</v>
      </c>
      <c r="D5" s="20">
        <v>6000</v>
      </c>
    </row>
    <row r="6" spans="1:4" s="14" customFormat="1" ht="30" customHeight="1">
      <c r="A6" s="18">
        <v>3</v>
      </c>
      <c r="B6" s="19" t="s">
        <v>55</v>
      </c>
      <c r="C6" s="10">
        <v>300</v>
      </c>
      <c r="D6" s="20">
        <v>350</v>
      </c>
    </row>
    <row r="7" spans="1:4" s="14" customFormat="1" ht="30" customHeight="1">
      <c r="A7" s="18">
        <v>4</v>
      </c>
      <c r="B7" s="19" t="s">
        <v>56</v>
      </c>
      <c r="C7" s="10">
        <v>550</v>
      </c>
      <c r="D7" s="20">
        <v>600</v>
      </c>
    </row>
    <row r="8" spans="1:4" s="14" customFormat="1" ht="30" customHeight="1" thickBot="1">
      <c r="A8" s="21">
        <v>5</v>
      </c>
      <c r="B8" s="22" t="s">
        <v>57</v>
      </c>
      <c r="C8" s="60">
        <v>0.1</v>
      </c>
      <c r="D8" s="61"/>
    </row>
  </sheetData>
  <mergeCells count="3">
    <mergeCell ref="C8:D8"/>
    <mergeCell ref="A2:D2"/>
    <mergeCell ref="A1:D1"/>
  </mergeCells>
  <pageMargins left="0.9055118110236221" right="0.9055118110236221" top="0.74803149606299213" bottom="0.74803149606299213" header="0.31496062992125984" footer="0.31496062992125984"/>
  <pageSetup paperSize="9" scale="9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CE65-4EC5-417B-B313-49AAC5DB54CF}">
  <sheetPr>
    <pageSetUpPr fitToPage="1"/>
  </sheetPr>
  <dimension ref="B1:C21"/>
  <sheetViews>
    <sheetView workbookViewId="0">
      <selection activeCell="B1" sqref="B1:C1"/>
    </sheetView>
  </sheetViews>
  <sheetFormatPr defaultRowHeight="15"/>
  <cols>
    <col min="2" max="2" width="38" customWidth="1"/>
    <col min="3" max="3" width="52.85546875" customWidth="1"/>
    <col min="7" max="7" width="9.140625" customWidth="1"/>
  </cols>
  <sheetData>
    <row r="1" spans="2:3" ht="79.5" customHeight="1" thickBot="1">
      <c r="B1" s="70" t="s">
        <v>0</v>
      </c>
      <c r="C1" s="71"/>
    </row>
    <row r="2" spans="2:3" ht="27" thickBot="1">
      <c r="B2" s="68" t="s">
        <v>42</v>
      </c>
      <c r="C2" s="69"/>
    </row>
    <row r="3" spans="2:3" ht="48" customHeight="1" thickBot="1">
      <c r="B3" s="24" t="s">
        <v>3</v>
      </c>
      <c r="C3" s="36" t="s">
        <v>63</v>
      </c>
    </row>
    <row r="4" spans="2:3" ht="29.25" thickBot="1">
      <c r="B4" s="27" t="s">
        <v>10</v>
      </c>
      <c r="C4" s="37">
        <v>38405</v>
      </c>
    </row>
    <row r="5" spans="2:3" ht="29.25" thickBot="1">
      <c r="B5" s="27" t="s">
        <v>11</v>
      </c>
      <c r="C5" s="37">
        <v>38405</v>
      </c>
    </row>
    <row r="6" spans="2:3" ht="29.25" thickBot="1">
      <c r="B6" s="27" t="s">
        <v>12</v>
      </c>
      <c r="C6" s="37">
        <v>43915</v>
      </c>
    </row>
    <row r="7" spans="2:3" ht="29.25" thickBot="1">
      <c r="B7" s="27" t="s">
        <v>13</v>
      </c>
      <c r="C7" s="37">
        <v>43915</v>
      </c>
    </row>
    <row r="8" spans="2:3" ht="29.25" thickBot="1">
      <c r="B8" s="27" t="s">
        <v>14</v>
      </c>
      <c r="C8" s="37">
        <v>45315</v>
      </c>
    </row>
    <row r="9" spans="2:3" ht="29.25" thickBot="1">
      <c r="B9" s="27" t="s">
        <v>15</v>
      </c>
      <c r="C9" s="37">
        <v>45315</v>
      </c>
    </row>
    <row r="10" spans="2:3" ht="29.25" thickBot="1">
      <c r="B10" s="27" t="s">
        <v>16</v>
      </c>
      <c r="C10" s="37">
        <v>46315</v>
      </c>
    </row>
    <row r="11" spans="2:3" ht="29.25" thickBot="1">
      <c r="B11" s="27" t="s">
        <v>17</v>
      </c>
      <c r="C11" s="37">
        <v>49066</v>
      </c>
    </row>
    <row r="12" spans="2:3" ht="29.25" thickBot="1">
      <c r="B12" s="27" t="s">
        <v>18</v>
      </c>
      <c r="C12" s="37">
        <v>49066</v>
      </c>
    </row>
    <row r="13" spans="2:3" ht="29.25" thickBot="1">
      <c r="B13" s="27" t="s">
        <v>19</v>
      </c>
      <c r="C13" s="37">
        <v>49066</v>
      </c>
    </row>
    <row r="14" spans="2:3" ht="29.25" thickBot="1">
      <c r="B14" s="27" t="s">
        <v>20</v>
      </c>
      <c r="C14" s="37">
        <v>55184</v>
      </c>
    </row>
    <row r="15" spans="2:3" ht="29.25" thickBot="1">
      <c r="B15" s="27" t="s">
        <v>21</v>
      </c>
      <c r="C15" s="37">
        <v>52784</v>
      </c>
    </row>
    <row r="16" spans="2:3" ht="29.25" thickBot="1">
      <c r="B16" s="35" t="s">
        <v>22</v>
      </c>
      <c r="C16" s="37">
        <v>69871</v>
      </c>
    </row>
    <row r="17" spans="2:3" ht="29.25" thickBot="1">
      <c r="B17" s="27" t="s">
        <v>23</v>
      </c>
      <c r="C17" s="37">
        <v>67471</v>
      </c>
    </row>
    <row r="18" spans="2:3" ht="29.25" thickBot="1">
      <c r="B18" s="27" t="s">
        <v>24</v>
      </c>
      <c r="C18" s="37">
        <v>67471</v>
      </c>
    </row>
    <row r="19" spans="2:3" ht="29.25" thickBot="1">
      <c r="B19" s="27" t="s">
        <v>25</v>
      </c>
      <c r="C19" s="37">
        <v>67471</v>
      </c>
    </row>
    <row r="20" spans="2:3" ht="29.25" thickBot="1">
      <c r="B20" s="35" t="s">
        <v>26</v>
      </c>
      <c r="C20" s="37">
        <v>67471</v>
      </c>
    </row>
    <row r="21" spans="2:3" ht="29.25" thickBot="1">
      <c r="B21" s="27" t="s">
        <v>27</v>
      </c>
      <c r="C21" s="37">
        <v>67471</v>
      </c>
    </row>
  </sheetData>
  <mergeCells count="2">
    <mergeCell ref="B2:C2"/>
    <mergeCell ref="B1:C1"/>
  </mergeCells>
  <pageMargins left="0.70866141732283472" right="0.70866141732283472" top="1.1417322834645669" bottom="0.74803149606299213" header="0.31496062992125984" footer="0.31496062992125984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PROPOSED FEES STRUCTURE 25-26</vt:lpstr>
      <vt:lpstr>FEE STRUCTURE 2026-27</vt:lpstr>
      <vt:lpstr>Sheet1</vt:lpstr>
      <vt:lpstr>FULL YEAR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Pushp Niketan School</cp:lastModifiedBy>
  <cp:lastPrinted>2026-07-02T03:37:35Z</cp:lastPrinted>
  <dcterms:created xsi:type="dcterms:W3CDTF">2006-09-16T00:00:00Z</dcterms:created>
  <dcterms:modified xsi:type="dcterms:W3CDTF">2026-07-06T07:17:43Z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AE5B5C0137474E1FB15AB29A9BECA303</vt:lpwstr>
  </property>
  <property fmtid="{D5CDD505-2E9C-101B-9397-08002B2CF9AE}" pid="3" name="KSOProductBuildVer">
    <vt:lpwstr>1033-12.2.0.17153</vt:lpwstr>
  </property>
</Properties>
</file>